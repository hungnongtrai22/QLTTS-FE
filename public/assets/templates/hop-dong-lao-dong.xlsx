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6.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105" windowWidth="19425" windowHeight="10305" activeTab="1"/>
  </bookViews>
  <sheets>
    <sheet sheetId="26" name="DANH SÁCH" state="visible" r:id="rId4"/>
    <sheet sheetId="8" name="HĐLĐ" state="visible" r:id="rId5"/>
  </sheets>
  <definedNames>
    <definedName name="_xlnm._FilterDatabase">'DANH SÁCH'!$B$8:$AH$70</definedName>
    <definedName name="dieu_phuluc13">'HĐLĐ'!$A$112</definedName>
    <definedName name="_xlnm.Print_Area" localSheetId="1">'HĐLĐ'!$A1:$K162</definedName>
  </definedNames>
  <calcPr calcId="171027" fullCalcOnLoad="1"/>
</workbook>
</file>

<file path=xl/sharedStrings.xml><?xml version="1.0" encoding="utf-8"?>
<sst xmlns="http://schemas.openxmlformats.org/spreadsheetml/2006/main" count="231" uniqueCount="227">
  <si>
    <t>CÔNG TY TNHH ĐÀO TẠO VÀ CUNG ỨNG NHÂN LỰC NHẬT TÂN</t>
  </si>
  <si>
    <t>Số 8 TX01, Phường Thới An, Tp Hồ Chí Minh</t>
  </si>
  <si>
    <t>STT</t>
  </si>
  <si>
    <t>Số hợp đồng</t>
  </si>
  <si>
    <t>Ngày hợp đồng</t>
  </si>
  <si>
    <t>Danh xưng</t>
  </si>
  <si>
    <t>Tên</t>
  </si>
  <si>
    <t>Giới tính</t>
  </si>
  <si>
    <t>Ngày tháng năm sinh</t>
  </si>
  <si>
    <t>CCCD/CMND</t>
  </si>
  <si>
    <t>Ngày Cấp</t>
  </si>
  <si>
    <t>Nơi cấp</t>
  </si>
  <si>
    <t>Số Hộ Chiếu</t>
  </si>
  <si>
    <t>Ngày cấp</t>
  </si>
  <si>
    <t>SĐT Học Viên</t>
  </si>
  <si>
    <t>Người thân</t>
  </si>
  <si>
    <t>Quan hệ</t>
  </si>
  <si>
    <t>SĐT Người thân</t>
  </si>
  <si>
    <t>Ngày đậu PV</t>
  </si>
  <si>
    <t>Ngày bay dự kiến</t>
  </si>
  <si>
    <t>Địa chỉ</t>
  </si>
  <si>
    <t>Nghiệp đoàn</t>
  </si>
  <si>
    <t>Công ty</t>
  </si>
  <si>
    <t>Công việc</t>
  </si>
  <si>
    <t>Địa chỉ công ty</t>
  </si>
  <si>
    <t>Giám đốc</t>
  </si>
  <si>
    <t>SĐT Cty tiếp nhận</t>
  </si>
  <si>
    <t>Mức trợ cấp đào tạo</t>
  </si>
  <si>
    <t>Tiền lương</t>
  </si>
  <si>
    <t>Thuế</t>
  </si>
  <si>
    <t>BHXH</t>
  </si>
  <si>
    <t>Tiền thuê nhà</t>
  </si>
  <si>
    <t>Ghi Chú</t>
  </si>
  <si>
    <t>PT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</si>
  <si>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</si>
  <si>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</si>
  <si>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</si>
  <si>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</si>
  <si>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</si>
  <si>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</si>
  <si>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</si>
  <si>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</si>
  <si>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</si>
  <si>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</si>
  <si>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</si>
  <si>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</si>
  <si>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</si>
  <si>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</si>
  <si>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</si>
  <si>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</si>
  <si>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</si>
  <si>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</si>
  <si>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</si>
  <si>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</si>
  <si>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</si>
  <si>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</si>
  <si>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</si>
  <si>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</si>
  <si>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</si>
  <si>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</si>
  <si>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</si>
  <si>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</si>
  <si>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</si>
  <si>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</si>
  <si>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Mẫu số 03</t>
  </si>
  <si>
    <r>
      <rPr>
        <b/>
        <color theme="1"/>
        <family val="1"/>
        <sz val="12"/>
        <rFont val="Times New Roman"/>
      </rPr>
      <t xml:space="preserve">CỘNG HÒA XÃ HỘI CHỦ NGHĨA VIỆT NAM
Độc Lập- Tự Do- Hạnh Phúc</t>
    </r>
    <r>
      <rPr>
        <color theme="1"/>
        <family val="1"/>
        <sz val="12"/>
        <rFont val="Times New Roman"/>
      </rPr>
      <t xml:space="preserve">
…o0o…</t>
    </r>
  </si>
  <si>
    <t xml:space="preserve">HỢP ĐỒNG ĐƯA NGƯỜI LAO ĐỘNG ĐI LÀM VIỆC 
Ở NƯỚC NGOÀI</t>
  </si>
  <si>
    <t>(Ban hành kèm theo Thông tư số 09/2026/TT – BNV ngày 15/05/2026 của Bộ Nội Vụ)</t>
  </si>
  <si>
    <t xml:space="preserve">Bên đưa đi: CÔNG TY TNHH ĐÀO TẠO VÀ CUNG ỨNG NHÂN LỰC NHẬT TÂN 
(NHATTAN MANPOWER) </t>
  </si>
  <si>
    <t>- Địa chỉ: Số 8 TX01, Phường Thới An, Tp. Hồ Chí Minh.</t>
  </si>
  <si>
    <t xml:space="preserve">- Điện thoại: 028 6274 5444 </t>
  </si>
  <si>
    <t>- E-mail: nhattan@nhattangroup.vn</t>
  </si>
  <si>
    <t>- Địa chỉ trang thông tin điện tử: nhattangroup.vn</t>
  </si>
  <si>
    <r>
      <t xml:space="preserve">- Người đại diện theo pháp luật của doanh nghiệp: </t>
    </r>
    <r>
      <rPr>
        <b/>
        <color theme="1"/>
        <family val="1"/>
        <sz val="13"/>
        <rFont val="Times New Roman"/>
      </rPr>
      <t>NGUYỄN KHẮC QUANG HUY</t>
    </r>
  </si>
  <si>
    <t>- Chức vụ: Giám Đốc</t>
  </si>
  <si>
    <t>Và</t>
  </si>
  <si>
    <t>- Ngày tháng năm sinh:</t>
  </si>
  <si>
    <t>Giới tính:</t>
  </si>
  <si>
    <t xml:space="preserve">- Địa chỉ thường trú: </t>
  </si>
  <si>
    <t>- Số CCCD/ĐDCN:</t>
  </si>
  <si>
    <t>Ngày cấp:</t>
  </si>
  <si>
    <t>- Số Hộ chiếu:</t>
  </si>
  <si>
    <t>Nơi cấp: Cục Quản Lý Xuất Nhập Cảnh</t>
  </si>
  <si>
    <t>- Người được báo tin:</t>
  </si>
  <si>
    <t>Số điện thoại:</t>
  </si>
  <si>
    <t xml:space="preserve">        Mối quan hệ với người lao động:</t>
  </si>
  <si>
    <t>- Địa chỉ báo tin tại Việt Nam:</t>
  </si>
  <si>
    <t xml:space="preserve"> Hai Bên thoả thuận và ký kết thực hiện các điều khoản hợp đồng sau đây:</t>
  </si>
  <si>
    <t>Điều 1:  Điều khoản chung</t>
  </si>
  <si>
    <t>- Thời hạn của hợp đồng lao động: 03 năm 0 tháng 0 ngày ( tính từ ngày người lao động nhập cảnh vào Nhật Bản.)</t>
  </si>
  <si>
    <t xml:space="preserve">- Ngành, nghề, công việc : </t>
  </si>
  <si>
    <t xml:space="preserve">- Địa điểm làm việc: </t>
  </si>
  <si>
    <t xml:space="preserve">- Người sử dụng lao động: </t>
  </si>
  <si>
    <t xml:space="preserve">- Đại diện người sử dụng lao động: </t>
  </si>
  <si>
    <t>Chức vụ: Giám đốc</t>
  </si>
  <si>
    <t>- Điện thoại:</t>
  </si>
  <si>
    <t>Điều 2: Quyền và nghĩa vụ của người lao động</t>
  </si>
  <si>
    <t>2.1.Tham gia đầy đủ khóa học giáo dục định hướng trước khi đi làm việc tại Nhật bản do Bên đưa đi tổ chức; trong thời gian 30 ngày; đảm bảo thời lượng 74 tiết, kiểm tra đạt kết quả và được cấp Giấy chứng nhận hoàn thành khóa học.</t>
  </si>
  <si>
    <t>2.2. Tham gia khóa bồi dưỡng kỹ năng nghề do Bên đưa đi tổ chức (nếu có) trong thời gian 30 ngày. Phí bồi dưỡng kỹ năng nghề do Công Ty TNHH Đào Và Cung Ứng Nhân Lực Nhật Tân chi trả.</t>
  </si>
  <si>
    <t>2.3. Tham gia khóa đào tạo ngoại ngữ tiếng Nhật do Bên đưa đi tổ chức (nếu có) trong thời gian 180 ngày. Phí đào tạo ngoại ngữ tiếng là 5.900.000 đồng, do người lao động chi trả.</t>
  </si>
  <si>
    <t>2.4. Chi phí người lao động phải trả trước khi đi:</t>
  </si>
  <si>
    <t>- Tiền dịch vụ :</t>
  </si>
  <si>
    <t>: 40.000.000 VNĐ</t>
  </si>
  <si>
    <t>+ Thời gian nộp (1 lần):  Tối thiểu trước xuất cảnh 5 ngày</t>
  </si>
  <si>
    <t>- Tiền đóng góp Quỹ hỗ trợ việc làm ngoài nước</t>
  </si>
  <si>
    <t>: 100.000 VNĐ</t>
  </si>
  <si>
    <t>- Chi phí đi lại từ Việt Nam đến nơi làm việc:</t>
  </si>
  <si>
    <t>: 0 VNĐ</t>
  </si>
  <si>
    <t>- Lệ phí cấp hộ chiếu</t>
  </si>
  <si>
    <t>: 200.000 VNĐ</t>
  </si>
  <si>
    <t>- Lệ phí cấp thị thực (visa)</t>
  </si>
  <si>
    <t>: 2.870.000 VNĐ</t>
  </si>
  <si>
    <t>- Lệ phí lý lịch tư pháp</t>
  </si>
  <si>
    <t>- Tiền khám sức khỏe</t>
  </si>
  <si>
    <t>: 7.000.000 VNĐ</t>
  </si>
  <si>
    <t>- Các chi phí khác:</t>
  </si>
  <si>
    <t>+ Chi phí đi lại trong thời gian đào tạo (6 tháng - 9 tháng)</t>
  </si>
  <si>
    <t>: 14.630.000 VNĐ</t>
  </si>
  <si>
    <t>+ Mua sắm tư trang, vật dụng</t>
  </si>
  <si>
    <t>: 20.000.000 VNĐ</t>
  </si>
  <si>
    <t>+ Chi phí đưa đón đến sân bay trước khi bay</t>
  </si>
  <si>
    <t>: 3.000.000 VNĐ</t>
  </si>
  <si>
    <t>+ Chi phí tiêm ngừa</t>
  </si>
  <si>
    <t>: 2.000.000 VNĐ</t>
  </si>
  <si>
    <t>Tổng cộng</t>
  </si>
  <si>
    <t>: 90.000.000 VNĐ</t>
  </si>
  <si>
    <r>
      <t>(</t>
    </r>
    <r>
      <rPr>
        <b/>
        <u/>
        <color theme="1"/>
        <family val="1"/>
        <sz val="13"/>
        <rFont val="Times New Roman"/>
      </rPr>
      <t>Bằng chữ:</t>
    </r>
    <r>
      <rPr>
        <b/>
        <color theme="1"/>
        <family val="1"/>
        <sz val="13"/>
        <rFont val="Times New Roman"/>
      </rPr>
      <t xml:space="preserve"> Chín mươi triệu đồng chẵn./.)</t>
    </r>
  </si>
  <si>
    <t>2.5. Ký kết và thực hiện hợp đồng lao động với người sử dụng lao động.</t>
  </si>
  <si>
    <t>2.6. Thời gian thử việc: Không</t>
  </si>
  <si>
    <t xml:space="preserve">2.7. Thời gian đào tạo tại nước tiếp nhận: </t>
  </si>
  <si>
    <t>- Thời gian đào tạo: trong vòng 01 tháng sau khi nhập cảnh</t>
  </si>
  <si>
    <t xml:space="preserve">- Mức lương/trợ cấp đào tạo: </t>
  </si>
  <si>
    <t>Yên/tháng (Bao gồm tiền ăn).</t>
  </si>
  <si>
    <t>- Điều kiện/chi phí ăn/ ở: Người lao động được Công ty sử dụng lao động/ Bên nước ngoài tiếp nhận lao động cung cấp (miễn phí hoặc có phí) chỗ ở và được cung cấp (miễn phí hoặc có phí)…. Bữa ăn hoặc các thiết bị (điện, gas,…), dụng cụ nấu ăn cần thiết để tự nấu ăn.</t>
  </si>
  <si>
    <t>2.8. Thời gian làm việc, nghỉ ngơi:</t>
  </si>
  <si>
    <t>- Thời gian làm việc: 08 giờ/ngày, 5 ngày/tuần theo quy định của pháp luật Nhật Bản. Ngoài thời gian này được tính là thời gian làm thêm giờ.</t>
  </si>
  <si>
    <t>- Người lao động được nghỉ các ngày lễ, Tết theo quy định của Luật pháp Nhật Bản, đó là các ngày: (Ngày đầu năm mới: 1/1; ngày Quốc Khánh: 11/2; ngày xuân phân: 20/3; ngày Chiêu Hòa: 29/4; ngày kỷ niệm Hiến pháp: 3/5; ngày cây xanh: 4/5; ngày thiếu nhi: 5/5; ngày của biển; ngày của núi: 11/8; ngày kính lão; ngày thu phân: 23/9; ngày thể dục thể thao; ngày văn hóa: 3/11; ngày tạ ơn người lao động: 23/11; ngày sinh nhật của Thiên hoàng, ...).</t>
  </si>
  <si>
    <t>- Ngoài ra, người lao động được 10 ngày phép có hưởng lương hàng năm theo quy định của Pháp luật Nhật Bản.</t>
  </si>
  <si>
    <t>2.9. Tiền lương, tiền làm thêm giờ, tiền thưởng và các khoản người lao động phải nộp (nếu có):</t>
  </si>
  <si>
    <t>- Tiền lương, tiền làm thêm giờ, tiền thưởng/phụ cấp:</t>
  </si>
  <si>
    <t>+ Tiền lương:</t>
  </si>
  <si>
    <t>Yên/tháng</t>
  </si>
  <si>
    <t>+ Tiền làm thêm giờ: Theo quy định luật pháp Nhật Bản, tùy thuộc vào công việc</t>
  </si>
  <si>
    <t>+ Các khoản tiền thưởng/phụ cấp (chuyên cần, hỗ trợ ăn, ở, ca kíp,……): Theo quy định xí nghiệp tiếp nhận Nhật Bản.</t>
  </si>
  <si>
    <t>+ Ngày trả lương: ngày 25 hàng tháng</t>
  </si>
  <si>
    <t>+ Hình thức trả lương: chuyển khoản ngân hàng</t>
  </si>
  <si>
    <t>- Các khoản người lao động phải nộp theo quy định của pháp luật nước tiếp nhận lao động:</t>
  </si>
  <si>
    <t xml:space="preserve">+ Thuế: </t>
  </si>
  <si>
    <t xml:space="preserve"> Yên</t>
  </si>
  <si>
    <t>+ Bảo hiểm xã hội, bảo hiểm việc làm:</t>
  </si>
  <si>
    <t xml:space="preserve">+ Tiền thuê nhà: </t>
  </si>
  <si>
    <t>2.10. Điều kiện ăn, ở, sinh hoạt:</t>
  </si>
  <si>
    <t xml:space="preserve"> Được người sử dụng lao động/Bên nước ngoài tiếp nhận lao động cung cấp (miễn phí hoặc có phí) chỗ ở và được cung cấp (miễn phí hoặc có phí)…. bữa ăn hoặc các thiết bị (điện, gas,...), dụng cụ nấu ăn cần thiết để tự nấu ăn.</t>
  </si>
  <si>
    <t xml:space="preserve">2.11. Bảo hiểm: </t>
  </si>
  <si>
    <t>Được tham gia và hưởng chế độ bảo hiểm:</t>
  </si>
  <si>
    <t>- Bảo hiểm xã hội</t>
  </si>
  <si>
    <t>- Bảo hiểm y tế</t>
  </si>
  <si>
    <t>- Bảo hiểm tai nạn lao động, bệnh nghề nghiệp</t>
  </si>
  <si>
    <t>- Bảo hiểm khác (nếu có)</t>
  </si>
  <si>
    <t>2.12. An toàn, vệ sinh lao động:</t>
  </si>
  <si>
    <t>Được cung cấp miễn phí trang thiết bị bảo hộ lao động theo từng vị trí việc làm và đảm bảo an toàn, vệ sinh lao động theo pháp luật nước tiếp nhận lao động và quy chế của người sử dụng lao động.</t>
  </si>
  <si>
    <t>2.13. Chi phí đi lại:</t>
  </si>
  <si>
    <t>- Chi phí đi lại từ Việt Nam đến nơi làm việc tại nước tiếp nhận do Nghiệp đoàn Nhật Bản chi trả;</t>
  </si>
  <si>
    <t>- Chi phí đi lại từ nơi làm việc tại nước tiếp nhận về Việt Nam sau khi người lao động hoàn thành hợp đồng do Nghiệp đoàn Nhật Bản chi trả;</t>
  </si>
  <si>
    <t>- Trường hợp người lao động phải về nước trước hạn:</t>
  </si>
  <si>
    <t>+ Do lỗi của người lao động thì chi phí chi phí đi lại từ nơi làm việc tại Nhật Bản về Việt Nam do người lao động chi trả.</t>
  </si>
  <si>
    <t>+ Không do lỗi của người lao động thì chi phí đi lại từ nơi làm việc tại Nhật Bản về Việt Nam do Xí nghiệp tiếp nhận chi trả.</t>
  </si>
  <si>
    <t>2.14. Chăm sóc sức khỏe sinh sản, ốm đau, thương tật, tử vong: Được khám, chữa bệnh, được hưởng chế độ bảo hiểm theo quy định pháp luật Nhật Bản và được hỗ trợ từ Quỹ Hỗ trợ Việc làm ngoài nước theo quy định của pháp luật Việt Nam.</t>
  </si>
  <si>
    <t>2.15. Trường hợp thay đổi nơi làm việc hoặc thay đổi người sử dụng lao động phải thông báo cho Bên đưa đi trong thời hạn 05 ngày kể từ ngày có sự thay đổi.</t>
  </si>
  <si>
    <t xml:space="preserve">2.16. Thực hiện thanh lý hợp đồng này trong thời hạn 180 ngày kể từ ngày chấm dứt hợp đồng; nếu không thanh
 lý hợp đồng, Bên đưa đi được đơn phương thanh lý hợp đồng theo quy định của pháp luật.</t>
  </si>
  <si>
    <t>2.17. Bồi thường cho Bên đưa đi theo thỏa thuận nêu tại Điều 6 hợp đồng này và quy định của pháp luật có liên quan.</t>
  </si>
  <si>
    <t xml:space="preserve">2.18. Yêu cầu Bên đưa đi bồi thường thiệt hại do Bên đưa đi gây ra theo quy định tại Điều 6 hợp đồng này và 
quy định của pháp luật có liên quan.</t>
  </si>
  <si>
    <t>2.19. Được hưởng các quyền và thực hiện các nghĩa vụ khác theo quy định của pháp luật.</t>
  </si>
  <si>
    <t>Điều 3: Quyền và nghĩa vụ của Bên đưa đi</t>
  </si>
  <si>
    <t>3.1. Thu tiền dịch vụ nêu trong Điểm 2.4 Điều 2 của Hợp đồng này;</t>
  </si>
  <si>
    <t xml:space="preserve">3.2. Tổ chức giáo dục định hướng cho người lao động, đảm bảo thời lượng 74 tiết theo quy định. </t>
  </si>
  <si>
    <t xml:space="preserve">3.3. Thỏa thuận với người lao động về việc bồi dưỡng kỹ năng nghề, tiếng Nhật cho người lao động theo yêu cầu 
của bên tiếp nhận lao động.</t>
  </si>
  <si>
    <t>3.4. Phối hợp với bên tiếp nhận hoàn tất hồ sơ, giấy tờ để người lao động xuất, nhập cảnh hợp pháp và đến nơi làm việc.</t>
  </si>
  <si>
    <t>3.5. Đảm bảo người lao động được ký kết hợp đồng lao động với người sử dụng lao động với các điều khoản phù hợp với hợp đồng này.</t>
  </si>
  <si>
    <t>3.6. Phối hợp với Bên nước ngoài tiếp nhận hỗ trợ người lao động trong việc gửi tiền lương và các khoản thu nhập hợp pháp của người lao động về Việt Nam theo đúng quy định của pháp luật;</t>
  </si>
  <si>
    <t>3.7. Tổ chức quản lý, bảo vệ quyền, lợi ích hợp pháp của người lao động trong thời gian người lao động làm việc ở nước ngoài;</t>
  </si>
  <si>
    <t>3.8. Phối hợp với bên tiếp nhận lao động tổ chức, hướng dẫn cho người lao động xuất, nhập cảnh về nước theo hợp đồng đã ký.</t>
  </si>
  <si>
    <t xml:space="preserve">3.9. Hỗ trợ người lao động hoặc thân nhân người lao động về các thủ tục để được hưởng các chế độ bảo hiểm
 theo quy định của Nhật Bản, Quỹ Hỗ trợ việc làm ngoài nước theo quy định và các chính sách hỗ trợ khác của Nhà nước (nếu có).</t>
  </si>
  <si>
    <t xml:space="preserve">3.10. Bồi thường cho người lao động, người bảo lãnh (nếu có) về những thiệt hại do Bên đưa đi gây ra theo quy 
định tại Điều 6 hợp đồng này, hợp đồng bảo lãnh (nếu có) và quy định của pháp luật có liên quan.</t>
  </si>
  <si>
    <t xml:space="preserve">3.11. Yêu cầu người lao động hoặc người bảo lãnh bồi thường thiệt hại theo thỏa thuận nêu tại Điều 6 hợp 
đồng này, hợp đồng bảo lãnh (nếu có) và quy định của pháp luật có liên quan.</t>
  </si>
  <si>
    <t>3.12. Thanh lý Hợp đồng đưa người lao động đi làm việc ở nước ngoài theo quy định của pháp luật.</t>
  </si>
  <si>
    <t>3.13. Được hưởng các quyền và thực hiện các nghĩa vụ khác theo quy định của pháp luật.</t>
  </si>
  <si>
    <t>Điều 4: Thời gian xuất cảnh</t>
  </si>
  <si>
    <t>4.1. Bên đưa đi có trách nhiệm đưa người lao động đi làm việc ở nước ngoài không quá 180 ngày kể từ ngày người lao động trúng tuyển đi làm việc ở nước ngoài theo văn bản cam kết của Công ty.</t>
  </si>
  <si>
    <t>4.2. Trong thời gian nêu tại khoản 4.1 Điều này, nếu người lao động không còn nguyện vọng đi làm việc ở nước ngoài thì Bên đưa đi trả lại hồ sơ (hộ chiếu, sơ yếu lý lịch, bằng cấp…) và người lao động phải chịu các khoản chi phí đã chi (nếu có) để làm thủ tục cho người lao động đi làm việc ở nước ngoài: phí giao thông từ Việt Nam đến nơi làm việc, tiền học ngoại ngữ, tiền bồi dưỡng kỹ năng nghề, tiền làm hộ chiếu, phí xin cấp thị thực (visa), tiền khám sức khỏe, …</t>
  </si>
  <si>
    <t>4.3. Quá thời hạn nêu tại khoản 4.1 Điều này, nếu Bên đưa đi vẫn chưa đưa người lao động đi làm việc ở nước ngoài, Bên đưa đi phải thông báo rõ lý do cho người lao động. Trường hợp người lao động không còn nhu cầu đi làm việc ở nước ngoài thì trong thời hạn 15 ngày kể từ ngày người lao động thông báo không còn nhu cầu đi làm việc ở nước ngoài, Bên đưa đi phải trả lại cho người lao động hồ sơ đã thu, giữ và hoàn trả các khoản tiền người lao động đã nộp cho Bên đưa đi bao gồm tiền dịch vụ, đóng góp Quỹ Hỗ trợ việc làm ngoài nước, phí giao thông từ Việt Nam đến nơi làm việc, phí cấp thị thực (visa), …; và Bên đưa đi làm thủ tục hoàn trả tiền ký quỹ (nếu có) cho người lao động.</t>
  </si>
  <si>
    <t>4.4. Trường hợp bất khả kháng (thiên tai, dịch bệnh, chiến tranh, bất ổn chính trị hoặc tình trạng khẩn cấp) dẫn đến sau 180 ngày kể từ ngày người lao động trúng tuyển mà người lao động không còn nhu cầu đi làm việc ở nước ngoài và/hoặc Bên đưa đi không đưa được người lao động đi làm việc ở nước ngoài thì Bên đưa đi phải trả lại cho người lao động hồ sơ, hoàn trả người lao động tiền dịch vụ và các khoản chưa chi. Đối với các khoản đã chi theo quy định, Bên đưa đi hoàn trả người lao động theo thỏa thuận giữa người lao động và Bên đưa đi.</t>
  </si>
  <si>
    <t>Điều 5: Thỏa thuận ký quỹ</t>
  </si>
  <si>
    <t>Hai bên không tiến hành bất cứ thỏa thuận ký quỹ nào.</t>
  </si>
  <si>
    <t>Điều 6: Điều khoản bồi thường thiệt hại</t>
  </si>
  <si>
    <t>Bên đưa đi và người lao động thỏa thuận việc bồi thường thiệt hại, mức bồi thường thiệt hại trong các trường hợp sau:</t>
  </si>
  <si>
    <t>- Bên đưa đi không đưa được người lao động đi làm việc ở nước ngoài được nêu tại khoản 4.3 Điều 4 của Hợp đồng này, mức bồi thường theo quy định của pháp luật.</t>
  </si>
  <si>
    <t>-  Bên đưa đi không đảm bảo các nội dung nêu tại Điều 1; khoản 2.6, 2.7, 2.8, 2.9 và 2.10 Điều 2 của Hợp đồng này, mức bồi thường là theo quy định của pháp luật.</t>
  </si>
  <si>
    <t>- Người lao động tự ý chấm dứt hợp đồng trái pháp luật hoặc ở lại nước ngoài trái pháp luật sau khi chấm dứt hợp đồng, mức bồi thường theo quy định pháp luật(trừ trường hợp nước, vùng lãnh thổ tiếp nhận lao động hoặc hợp đồng cung ứng lao động không quy định người lao động phải bồi thường).</t>
  </si>
  <si>
    <t>Điều 7: Thời hạn hợp đồng</t>
  </si>
  <si>
    <t>- Hợp đồng này có thời hạn 36 tháng kể từ ngày ký và có thể gia hạn với thời gian 24 tháng</t>
  </si>
  <si>
    <t xml:space="preserve">- Trong trường hợp gia hạn, tiền dịch vụ mà người lao động phải trả cho Bên đưa đi là: 
0 đồng.
</t>
  </si>
  <si>
    <t>- Quyền và nghĩa vụ của hai Bên trong thời gian gia hạn hợp đồng được thực hiện theo các điều khoản trong Hợp đồng này</t>
  </si>
  <si>
    <t>- Trường hợp Bên đưa đi không đảm bảo các nội dung nêu tại Điều 1 nhưng người lao động có nguyện vọng tiếp tục làm việc ở nước ngoài thì hai Bên thỏa thuận bằng văn bản các nội dung thay đổi tại Điều 1 của Hợp đồng này.</t>
  </si>
  <si>
    <t>Điều 8: Thanh lý hợp đồng</t>
  </si>
  <si>
    <t>8.1. Hai Bên thanh lý hợp đồng trong các trường hợp sau:</t>
  </si>
  <si>
    <t>- Người lao động không còn nguyện vọng đi thực tập ở nước ngoài;</t>
  </si>
  <si>
    <t>- Bên đưa đi không đưa được người lao động đi làm việc ở nước ngoài trong trường hợp 180 ngày kể từ ngày người lao động trúng tuyển;</t>
  </si>
  <si>
    <t>- Người lao động chấm dứt hợp đồng lao động;</t>
  </si>
  <si>
    <t>- Người lao động vi phạm hợp đồng lao động, tự ý bỏ hợp đồng ra ngoài làm việc bất hợp pháp;</t>
  </si>
  <si>
    <t>- Các trường hợp khác theo quy định của pháp luật Việt Nam và pháp luật nước tiếp nhận lao động.</t>
  </si>
  <si>
    <t>8.2.Tùy thuộc vào nguyên nhân dẫn đến việc chấm dứt hợp đồng lao động trước thời hạn, hai Bên sẽ xem xét việc thỏa thuận thanh lý hợp đồng, cụ thể như sau:</t>
  </si>
  <si>
    <t>- Trong trường hợp bất khả kháng không thể tiếp tục thực hiện Hợp đồng (như xảy ra chiến tranh, thiên tai và các sự kiện khác nằm ngoài khả năng kiểm soát hợp lý của các Bên), hai bên sẽ cùng nhau giải quyết những vấn đề còn tồn tại và Bên đưa đi sẽ xem xét khả năng hỗ trợ cho lao động trên cơ sở những quy định hiện hành của pháp luật;</t>
  </si>
  <si>
    <t>- Trường hợp người lao động bị chấm dứt hợp đồng và về nước trước thời hạn mà không do lỗi của người lao động, Bên đưa đi có trách nhiệm trả các khoản tiền theo quy định và bồi thường cho người lao động theo thỏa thuận;</t>
  </si>
  <si>
    <t>- Trường hợp người lao động bị chấm dứt hợp đồng và phải về nước trước thời hạn do lỗi của người lao động, người lao động có trách nhiệm bồi thường Bên nước ngoài tiếp nhận lao động và Bên đưa đi về những thiệt hại do người lao động gây ra</t>
  </si>
  <si>
    <t>Điều 9: Các thỏa thuận khác</t>
  </si>
  <si>
    <t>Không có</t>
  </si>
  <si>
    <t>Điều 10: Giải quyết tranh chấp và luật áp dụng</t>
  </si>
  <si>
    <t>10.1. Hợp đồng này được giải thích và điều chỉnh theo luật pháp Việt Nam.</t>
  </si>
  <si>
    <t>10.2. Mọi tranh chấp phát sinh trên cơ sở Hợp đồng này sẽ được giải quyết trước hết bằng thương lượng giữa hai bên theo nguyên tắc bình đẳng, cùng có lợi.</t>
  </si>
  <si>
    <t>10.3. Trường hợp tranh chấp không giải quyết được thông qua thương lượng hai bên sẽ đưa ra Tòa án có thẩm quyền để giải quyết theo quy định của pháp luật Việt Nam.</t>
  </si>
  <si>
    <t xml:space="preserve">Hợp đồng này được lập thành 02 bản bằng tiếng Việt, có giá trị như nhau, mỗi Bên giữ 01 bản để theo dõi và thực hiện.
Hai bên: Bên đưa đi – CÔNG TY TNHH ĐÀO TẠO VÀ CUNG ỨNG NHÂN LỰC NHẬT TÂN  (NHATTAN MANPOWER) và Người lao động đã đọc kỹ, hiểu rõ các điều khoản trên đây, nhất trí ký tên.</t>
  </si>
  <si>
    <t xml:space="preserve">  Người đại diện theo pháp luật 
   của Bên đưa đi 
                                                                          </t>
  </si>
  <si>
    <t>Người lao động</t>
  </si>
  <si>
    <t xml:space="preserve">                          (Ký tên, đóng dấu và ghi rõ họ tên)                                                                  </t>
  </si>
  <si>
    <t xml:space="preserve">  ( Ký tên và ghi rõ họ tên )</t>
  </si>
  <si>
    <t>NGUYỄN KHẮC QUANG HUY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</si>
</sst>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_);_(* (#,##0);_(* &quot;-&quot;??_);_(@_)"/>
    <numFmt numFmtId="165" formatCode="dd/mm/yyyy"/>
    <numFmt numFmtId="166" formatCode="[$-1010000]d/m/yyyy;@"/>
  </numFmts>
  <fonts count="18" x14ac:knownFonts="1">
    <font>
      <color theme="1"/>
      <family val="2"/>
      <scheme val="minor"/>
      <sz val="11"/>
      <name val="Calibri"/>
    </font>
    <font>
      <color theme="1"/>
      <family val="1"/>
      <sz val="13"/>
      <name val="Times New Roman"/>
    </font>
    <font>
      <color theme="1"/>
      <family val="1"/>
      <sz val="12"/>
      <name val="Times New Roman"/>
    </font>
    <font>
      <b/>
      <color theme="1"/>
      <family val="1"/>
      <sz val="12"/>
      <name val="Times New Roman"/>
    </font>
    <font>
      <b/>
      <color theme="1"/>
      <family val="1"/>
      <sz val="25"/>
      <name val="Times New Roman"/>
    </font>
    <font>
      <b/>
      <color theme="1"/>
      <family val="1"/>
      <sz val="20"/>
      <name val="Times New Roman"/>
    </font>
    <font>
      <family val="1"/>
      <sz val="12"/>
      <name val="Times New Roman"/>
    </font>
    <font>
      <b/>
      <color theme="1"/>
      <family val="1"/>
      <sz val="13"/>
      <name val="Times New Roman"/>
    </font>
    <font>
      <charset val="163"/>
      <color theme="1"/>
      <family val="1"/>
      <sz val="11"/>
      <name val="Times New Roman"/>
    </font>
    <font>
      <i/>
      <color theme="1"/>
      <family val="1"/>
      <sz val="10"/>
      <name val="Times New Roman"/>
    </font>
    <font>
      <charset val="163"/>
      <color theme="1"/>
      <family val="1"/>
      <sz val="12"/>
      <name val="Times New Roman"/>
    </font>
    <font>
      <b/>
      <charset val="163"/>
      <color theme="1"/>
      <family val="1"/>
      <sz val="18"/>
      <name val="Times New Roman"/>
    </font>
    <font>
      <b/>
      <charset val="163"/>
      <color theme="1"/>
      <family val="1"/>
      <sz val="13"/>
      <name val="Times New Roman"/>
    </font>
    <font>
      <charset val="163"/>
      <color theme="1"/>
      <family val="1"/>
      <sz val="13"/>
      <name val="Times New Roman"/>
    </font>
    <font>
      <charset val="163"/>
      <color theme="1"/>
      <family val="2"/>
      <sz val="13"/>
      <name val="MS PGothic"/>
    </font>
    <font>
      <b/>
      <u/>
      <charset val="163"/>
      <color theme="1"/>
      <family val="1"/>
      <sz val="13"/>
      <name val="Times New Roman"/>
    </font>
    <font>
      <b/>
      <u/>
      <color theme="1"/>
      <family val="1"/>
      <sz val="13"/>
      <name val="Times New Roman"/>
    </font>
    <font>
      <i/>
      <color theme="1"/>
      <family val="1"/>
      <sz val="11"/>
      <name val="Times New Roman"/>
    </font>
  </fonts>
  <fills count="3">
    <fill>
      <patternFill patternType="none"/>
    </fill>
    <fill>
      <patternFill patternType="gray125"/>
    </fill>
    <fill>
      <patternFill patternType="solid">
        <fgColor theme="0"/>
        <bgColor indexed="64"/>
      </patternFill>
    </fill>
  </fills>
  <borders count="4">
    <border>
      <left/>
      <right/>
      <top/>
      <bottom/>
      <diagonal/>
    </border>
    <border>
      <left style="thin"/>
      <right style="thin"/>
      <top style="thin"/>
      <bottom style="thin"/>
      <diagonal/>
    </border>
    <border>
      <left/>
      <right/>
      <top style="hair"/>
      <bottom style="hair"/>
      <diagonal/>
    </border>
    <border>
      <left/>
      <right/>
      <top style="thin"/>
      <bottom/>
      <diagonal/>
    </border>
  </borders>
  <cellStyleXfs count="1">
    <xf numFmtId="0" fontId="0" fillId="0" borderId="0"/>
  </cellStyleXfs>
  <cellXfs count="101">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wrapText="1"/>
    </xf>
    <xf numFmtId="0" fontId="1" fillId="0" borderId="0" xfId="0" applyFont="1" applyAlignment="1">
      <alignment horizontal="center" wrapText="1"/>
    </xf>
    <xf numFmtId="14" fontId="1" fillId="0" borderId="0" xfId="0" applyNumberFormat="1" applyFont="1" applyAlignment="1">
      <alignment horizontal="center"/>
    </xf>
    <xf numFmtId="49" fontId="1" fillId="0" borderId="0" xfId="0" applyNumberFormat="1" applyFont="1" applyAlignment="1">
      <alignment horizontal="center"/>
    </xf>
    <xf numFmtId="14" fontId="1" fillId="0" borderId="0" xfId="0" applyNumberFormat="1" applyFont="1"/>
    <xf numFmtId="49" fontId="2" fillId="0" borderId="0" xfId="0" applyNumberFormat="1" applyFont="1" applyAlignment="1">
      <alignment horizontal="center" wrapText="1"/>
    </xf>
    <xf numFmtId="49" fontId="1" fillId="0" borderId="0" xfId="0" applyNumberFormat="1" applyFont="1" applyAlignment="1">
      <alignment horizontal="center" wrapText="1"/>
    </xf>
    <xf numFmtId="164" fontId="1" fillId="0" borderId="0" xfId="0" applyNumberFormat="1" applyFont="1" applyAlignment="1">
      <alignment horizontal="center" wrapText="1"/>
    </xf>
    <xf numFmtId="164" fontId="1" fillId="0" borderId="0" xfId="0" applyNumberFormat="1" applyFont="1"/>
    <xf numFmtId="0" fontId="3" fillId="0" borderId="0" xfId="0" applyFont="1" applyAlignment="1">
      <alignment horizontal="left"/>
    </xf>
    <xf numFmtId="0" fontId="1" fillId="0" borderId="0" xfId="0" applyFont="1" applyAlignment="1">
      <alignment horizontal="left"/>
    </xf>
    <xf numFmtId="0" fontId="4" fillId="0" borderId="0" xfId="0" applyFont="1"/>
    <xf numFmtId="0" fontId="4" fillId="0" borderId="0" xfId="0" applyFont="1" applyAlignment="1">
      <alignment horizontal="center"/>
    </xf>
    <xf numFmtId="49" fontId="4" fillId="0" borderId="0" xfId="0" applyNumberFormat="1" applyFont="1" applyAlignment="1">
      <alignment horizontal="center"/>
    </xf>
    <xf numFmtId="164" fontId="4" fillId="0" borderId="0" xfId="0" applyNumberFormat="1" applyFont="1" applyAlignment="1">
      <alignment horizontal="center"/>
    </xf>
    <xf numFmtId="0" fontId="5" fillId="0" borderId="0" xfId="0" applyFont="1" applyAlignment="1">
      <alignment horizontal="center"/>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164" fontId="3"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1" xfId="0" applyNumberFormat="1" applyFont="1" applyBorder="1" applyAlignment="1">
      <alignment horizontal="center" vertical="center" wrapText="1"/>
    </xf>
    <xf numFmtId="164" fontId="2" fillId="0" borderId="0" xfId="0" applyNumberFormat="1" applyFont="1" applyAlignment="1">
      <alignment horizontal="center" vertical="center" wrapText="1"/>
    </xf>
    <xf numFmtId="0" fontId="6" fillId="0" borderId="2" xfId="0" applyFont="1" applyBorder="1" applyAlignment="1">
      <alignment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165" fontId="6" fillId="0" borderId="1" xfId="0" applyNumberFormat="1" applyFont="1" applyBorder="1" applyAlignment="1">
      <alignment horizontal="center" vertical="center"/>
    </xf>
    <xf numFmtId="49" fontId="6" fillId="0" borderId="1" xfId="0" applyNumberFormat="1" applyFont="1" applyBorder="1" applyAlignment="1">
      <alignment horizontal="center" vertical="center"/>
    </xf>
    <xf numFmtId="0" fontId="6" fillId="0" borderId="1" xfId="0" applyFont="1" applyBorder="1" applyAlignment="1">
      <alignment horizontal="center" vertical="center"/>
    </xf>
    <xf numFmtId="165" fontId="6" fillId="0" borderId="1" xfId="0" applyNumberFormat="1" applyFont="1" applyBorder="1" applyAlignment="1">
      <alignment vertical="center"/>
    </xf>
    <xf numFmtId="49" fontId="6" fillId="0" borderId="1" xfId="0" applyNumberFormat="1" applyFont="1" applyBorder="1" applyAlignment="1">
      <alignment horizontal="center" vertical="center" wrapText="1"/>
    </xf>
    <xf numFmtId="3"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164" fontId="6" fillId="0" borderId="2" xfId="0" applyNumberFormat="1" applyFont="1" applyBorder="1" applyAlignment="1">
      <alignment vertical="center"/>
    </xf>
    <xf numFmtId="14" fontId="2"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14" fontId="6" fillId="0" borderId="1" xfId="0" applyNumberFormat="1" applyFont="1" applyBorder="1" applyAlignment="1">
      <alignment vertical="center"/>
    </xf>
    <xf numFmtId="0" fontId="7" fillId="0" borderId="3" xfId="0" applyFont="1" applyBorder="1" applyAlignment="1">
      <alignment horizontal="center" vertical="center"/>
    </xf>
    <xf numFmtId="0" fontId="8"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vertical="center"/>
    </xf>
    <xf numFmtId="0" fontId="12" fillId="2" borderId="0" xfId="0" applyFont="1" applyFill="1" applyAlignment="1">
      <alignment horizontal="center" vertical="center"/>
    </xf>
    <xf numFmtId="2" fontId="13" fillId="2" borderId="0" xfId="0" applyNumberFormat="1" applyFont="1" applyFill="1" applyAlignment="1">
      <alignment horizontal="left" vertical="center" wrapText="1"/>
    </xf>
    <xf numFmtId="0" fontId="7" fillId="0" borderId="0" xfId="0"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vertical="center" wrapText="1"/>
    </xf>
    <xf numFmtId="166" fontId="13" fillId="0" borderId="0" xfId="0" applyNumberFormat="1" applyFont="1" applyAlignment="1">
      <alignment horizontal="center" vertical="center"/>
    </xf>
    <xf numFmtId="0" fontId="13" fillId="0" borderId="0" xfId="0" applyFont="1" applyAlignment="1">
      <alignment vertical="center"/>
    </xf>
    <xf numFmtId="0" fontId="13" fillId="0" borderId="0" xfId="0" applyFont="1" applyAlignment="1">
      <alignment horizontal="center" vertical="center"/>
    </xf>
    <xf numFmtId="0" fontId="1" fillId="0" borderId="0" xfId="0" applyFont="1" applyAlignment="1">
      <alignment horizontal="left" vertical="center"/>
    </xf>
    <xf numFmtId="0" fontId="7" fillId="0" borderId="0" xfId="0" applyFont="1" applyAlignment="1">
      <alignment vertical="center"/>
    </xf>
    <xf numFmtId="166" fontId="13" fillId="0" borderId="0" xfId="0" applyNumberFormat="1" applyFont="1" applyAlignment="1">
      <alignment horizontal="left" vertical="center"/>
    </xf>
    <xf numFmtId="0" fontId="13" fillId="0" borderId="0" xfId="0" applyFont="1" applyAlignment="1">
      <alignment horizontal="left" vertical="center" wrapText="1"/>
    </xf>
    <xf numFmtId="165" fontId="13" fillId="0" borderId="0" xfId="0" applyNumberFormat="1" applyFont="1" applyAlignment="1">
      <alignment horizontal="left" vertical="center" wrapText="1"/>
    </xf>
    <xf numFmtId="14" fontId="13" fillId="0" borderId="0" xfId="0" applyNumberFormat="1" applyFont="1" applyAlignment="1">
      <alignment horizontal="left" vertical="center" wrapText="1"/>
    </xf>
    <xf numFmtId="0" fontId="14" fillId="0" borderId="0" xfId="0" applyFont="1" applyAlignment="1">
      <alignment vertical="center"/>
    </xf>
    <xf numFmtId="14" fontId="13" fillId="0" borderId="0" xfId="0" applyNumberFormat="1" applyFont="1" applyAlignment="1">
      <alignment horizontal="center" vertical="center" wrapText="1"/>
    </xf>
    <xf numFmtId="165" fontId="13" fillId="0" borderId="0" xfId="0" applyNumberFormat="1" applyFont="1" applyAlignment="1">
      <alignment horizontal="left" vertical="center"/>
    </xf>
    <xf numFmtId="0" fontId="15" fillId="0" borderId="0" xfId="0" applyFont="1" applyAlignment="1">
      <alignment horizontal="left" vertical="center" wrapText="1"/>
    </xf>
    <xf numFmtId="0" fontId="13" fillId="2" borderId="0" xfId="0" applyFont="1" applyFill="1" applyAlignment="1">
      <alignment horizontal="left" vertical="center"/>
    </xf>
    <xf numFmtId="0" fontId="13" fillId="2" borderId="0" xfId="0" applyFont="1" applyFill="1" applyAlignment="1">
      <alignment vertical="center" wrapText="1"/>
    </xf>
    <xf numFmtId="0" fontId="13" fillId="2" borderId="0" xfId="0" applyFont="1" applyFill="1" applyAlignment="1">
      <alignment vertical="center"/>
    </xf>
    <xf numFmtId="166" fontId="13" fillId="2" borderId="0" xfId="0" applyNumberFormat="1" applyFont="1" applyFill="1" applyAlignment="1">
      <alignment horizontal="center" vertical="center"/>
    </xf>
    <xf numFmtId="49" fontId="13" fillId="2" borderId="0" xfId="0" applyNumberFormat="1" applyFont="1" applyFill="1" applyAlignment="1">
      <alignment horizontal="left" vertical="center"/>
    </xf>
    <xf numFmtId="0" fontId="13" fillId="2" borderId="0" xfId="0" applyFont="1" applyFill="1" applyAlignment="1">
      <alignment horizontal="center" vertical="center"/>
    </xf>
    <xf numFmtId="0" fontId="13" fillId="2" borderId="0" xfId="0" applyFont="1" applyFill="1" applyAlignment="1">
      <alignment horizontal="left"/>
    </xf>
    <xf numFmtId="0" fontId="16" fillId="2" borderId="0" xfId="0" applyFont="1" applyFill="1" applyAlignment="1">
      <alignment horizontal="left" vertical="center" wrapText="1"/>
    </xf>
    <xf numFmtId="0" fontId="12" fillId="2" borderId="0" xfId="0" applyFont="1" applyFill="1" applyAlignment="1">
      <alignment horizontal="left" vertical="center" wrapText="1"/>
    </xf>
    <xf numFmtId="0" fontId="13" fillId="0" borderId="0" xfId="0" applyFont="1"/>
    <xf numFmtId="0" fontId="13" fillId="2" borderId="0" xfId="0" applyFont="1" applyFill="1"/>
    <xf numFmtId="0" fontId="7" fillId="0" borderId="0" xfId="0" applyFont="1"/>
    <xf numFmtId="3" fontId="13" fillId="2" borderId="0" xfId="0" applyNumberFormat="1" applyFont="1" applyFill="1" applyAlignment="1">
      <alignment horizontal="right" vertical="center"/>
    </xf>
    <xf numFmtId="3" fontId="13" fillId="2" borderId="0" xfId="0" applyNumberFormat="1" applyFont="1" applyFill="1" applyAlignment="1">
      <alignment horizontal="center" vertical="center"/>
    </xf>
    <xf numFmtId="3" fontId="13" fillId="2" borderId="0" xfId="0" applyNumberFormat="1" applyFont="1" applyFill="1" applyAlignment="1">
      <alignment vertical="center"/>
    </xf>
    <xf numFmtId="0" fontId="13" fillId="2" borderId="0" xfId="0" applyFont="1" applyFill="1" applyAlignment="1">
      <alignment horizontal="left" vertical="center" wrapText="1"/>
    </xf>
    <xf numFmtId="3" fontId="10" fillId="0" borderId="0" xfId="0" applyNumberFormat="1" applyFont="1" applyAlignment="1">
      <alignment horizontal="center" vertical="center"/>
    </xf>
    <xf numFmtId="164" fontId="10" fillId="0" borderId="0" xfId="0" applyNumberFormat="1" applyFont="1" applyAlignment="1">
      <alignment horizontal="center" vertical="center"/>
    </xf>
    <xf numFmtId="164" fontId="13" fillId="2" borderId="0" xfId="0" applyNumberFormat="1" applyFont="1" applyFill="1" applyAlignment="1">
      <alignment horizontal="center" vertical="center"/>
    </xf>
    <xf numFmtId="0" fontId="10" fillId="0" borderId="0" xfId="0" applyFont="1" applyAlignment="1">
      <alignment vertical="center" wrapText="1"/>
    </xf>
    <xf numFmtId="0" fontId="10" fillId="0" borderId="0" xfId="0" applyFont="1" applyAlignment="1">
      <alignment horizontal="left" vertical="center" wrapText="1"/>
    </xf>
    <xf numFmtId="0" fontId="15" fillId="0" borderId="0" xfId="0" applyFont="1" applyAlignment="1">
      <alignment horizontal="left" vertical="center"/>
    </xf>
    <xf numFmtId="0" fontId="12" fillId="0" borderId="0" xfId="0" applyFont="1"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vertical="center"/>
    </xf>
    <xf numFmtId="0" fontId="17" fillId="0" borderId="0" xfId="0" applyFont="1" applyAlignment="1">
      <alignment horizontal="center" vertical="center"/>
    </xf>
    <xf numFmtId="0" fontId="7"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6.xml"/><Relationship Id="rId5"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1:XFD162"/>
  <sheetViews>
    <sheetView workbookViewId="0" zoomScale="140" zoomScaleNormal="140">
      <selection activeCell="D48" sqref="D48"/>
    </sheetView>
  </sheetViews>
  <sheetFormatPr defaultRowHeight="15" outlineLevelRow="0" outlineLevelCol="0" x14ac:dyDescent="0" defaultColWidth="9.140625"/>
  <cols>
    <col min="1" max="1" width="17.28515625" style="46" customWidth="1"/>
    <col min="2" max="2" width="3.7109375" style="46" customWidth="1"/>
    <col min="3" max="3" width="8.28515625" style="46" customWidth="1"/>
    <col min="4" max="4" width="9.28515625" style="46" customWidth="1"/>
    <col min="5" max="5" width="10.5703125" style="46" customWidth="1"/>
    <col min="6" max="6" width="7.85546875" style="46" customWidth="1"/>
    <col min="7" max="7" width="13.85546875" style="46" customWidth="1"/>
    <col min="8" max="8" width="10.28515625" style="46" customWidth="1"/>
    <col min="9" max="9" width="7.85546875" style="46" customWidth="1"/>
    <col min="10" max="10" width="4.5703125" style="46" customWidth="1"/>
    <col min="11" max="11" width="15.140625" style="46" customWidth="1"/>
    <col min="12" max="16384" width="9.140625" style="46" customWidth="1"/>
  </cols>
  <sheetData>
    <row r="1" ht="12.75" customHeight="1" spans="11:11" s="46" customFormat="1" x14ac:dyDescent="0.25">
      <c r="K1" s="47" t="s">
        <v>64</v>
      </c>
    </row>
    <row r="2" ht="51.75" customHeight="1" spans="1:12" x14ac:dyDescent="0.25">
      <c r="A2" s="25" t="s">
        <v>65</v>
      </c>
      <c r="B2" s="48"/>
      <c r="C2" s="49"/>
      <c r="D2" s="49"/>
      <c r="E2" s="49"/>
      <c r="F2" s="49"/>
      <c r="G2" s="49"/>
      <c r="H2" s="49"/>
      <c r="I2" s="49"/>
      <c r="J2" s="49"/>
      <c r="K2" s="49"/>
      <c r="L2" s="46">
        <v>1</v>
      </c>
    </row>
    <row r="3" ht="45.75" customHeight="1" spans="1:11" x14ac:dyDescent="0.25">
      <c r="A3" s="50" t="s">
        <v>66</v>
      </c>
      <c r="B3" s="50"/>
      <c r="C3" s="51"/>
      <c r="D3" s="51"/>
      <c r="E3" s="51"/>
      <c r="F3" s="51"/>
      <c r="G3" s="51"/>
      <c r="H3" s="51"/>
      <c r="I3" s="51"/>
      <c r="J3" s="51"/>
      <c r="K3" s="51"/>
    </row>
    <row r="4" ht="18.75" customHeight="1" spans="1:11" s="46" customFormat="1" x14ac:dyDescent="0.25">
      <c r="A4" s="52" t="s">
        <v>67</v>
      </c>
      <c r="B4" s="52"/>
      <c r="C4" s="52"/>
      <c r="D4" s="52"/>
      <c r="E4" s="52"/>
      <c r="F4" s="52"/>
      <c r="G4" s="52"/>
      <c r="H4" s="52"/>
      <c r="I4" s="52"/>
      <c r="J4" s="52"/>
      <c r="K4" s="52"/>
    </row>
    <row r="5" ht="17.25" customHeight="1" spans="1:11" s="53" customFormat="1" x14ac:dyDescent="0.25">
      <c r="A5" s="54">
        <f> "Số"&amp;":"&amp; " " &amp; VLOOKUP($L$2,'DANH SÁCH'!$B$8:$AH$70,2,0)</f>
      </c>
      <c r="B5" s="54"/>
      <c r="C5" s="54"/>
      <c r="D5" s="54"/>
      <c r="E5" s="54"/>
      <c r="F5" s="54"/>
      <c r="G5" s="54"/>
      <c r="H5" s="54"/>
      <c r="I5" s="54"/>
      <c r="J5" s="54"/>
      <c r="K5" s="54"/>
    </row>
    <row r="6" ht="6" customHeight="1" s="53" customFormat="1" x14ac:dyDescent="0.25"/>
    <row r="7" ht="6.75" customHeight="1" s="53" customFormat="1" x14ac:dyDescent="0.25"/>
    <row r="8" ht="19.5" customHeight="1" spans="1:11" s="53" customFormat="1" x14ac:dyDescent="0.25">
      <c r="A8" s="55">
        <f>"Hôm nay, ngày" &amp;" " &amp; DAY('DANH SÁCH'!D10) &amp;" " &amp; "tháng" &amp;" "&amp; MONTH('DANH SÁCH'!D10)&amp; " " &amp; " năm" &amp;" "&amp; YEAR('DANH SÁCH'!D10) &amp;", tại Công Ty TNHH Đào Tạo Và Cung Ứng Nhân Lực Nhật Tân, chúng tôi gồm:"</f>
      </c>
      <c r="B8" s="55"/>
      <c r="C8" s="55"/>
      <c r="D8" s="55"/>
      <c r="E8" s="55"/>
      <c r="F8" s="55"/>
      <c r="G8" s="55"/>
      <c r="H8" s="55"/>
      <c r="I8" s="55"/>
      <c r="J8" s="55"/>
      <c r="K8" s="55"/>
    </row>
    <row r="9" ht="15" customHeight="1" spans="1:11" s="53" customFormat="1" x14ac:dyDescent="0.25">
      <c r="A9" s="55"/>
      <c r="B9" s="55"/>
      <c r="C9" s="55"/>
      <c r="D9" s="55"/>
      <c r="E9" s="55"/>
      <c r="F9" s="55"/>
      <c r="G9" s="55"/>
      <c r="H9" s="55"/>
      <c r="I9" s="55"/>
      <c r="J9" s="55"/>
      <c r="K9" s="55"/>
    </row>
    <row r="10" ht="35.25" customHeight="1" spans="1:11" s="53" customFormat="1" x14ac:dyDescent="0.25">
      <c r="A10" s="56" t="s">
        <v>68</v>
      </c>
      <c r="B10" s="56"/>
      <c r="C10" s="56"/>
      <c r="D10" s="56"/>
      <c r="E10" s="56"/>
      <c r="F10" s="56"/>
      <c r="G10" s="56"/>
      <c r="H10" s="56"/>
      <c r="I10" s="56"/>
      <c r="J10" s="56"/>
      <c r="K10" s="56"/>
    </row>
    <row r="11" ht="21.75" customHeight="1" spans="1:11" s="53" customFormat="1" x14ac:dyDescent="0.25">
      <c r="A11" s="57" t="s">
        <v>69</v>
      </c>
      <c r="B11" s="58"/>
      <c r="C11" s="59"/>
      <c r="D11" s="59"/>
      <c r="E11" s="60"/>
      <c r="F11" s="60"/>
      <c r="G11" s="60"/>
      <c r="H11" s="60"/>
      <c r="I11" s="60"/>
      <c r="J11" s="60"/>
      <c r="K11" s="60"/>
    </row>
    <row r="12" ht="21.75" customHeight="1" spans="1:11" s="53" customFormat="1" x14ac:dyDescent="0.25">
      <c r="A12" s="57" t="s">
        <v>70</v>
      </c>
      <c r="B12" s="57"/>
      <c r="C12" s="57"/>
      <c r="D12" s="59"/>
      <c r="E12" s="60"/>
      <c r="F12" s="61"/>
      <c r="G12" s="61"/>
      <c r="H12" s="61"/>
      <c r="I12" s="60"/>
      <c r="J12" s="60"/>
      <c r="K12" s="60"/>
    </row>
    <row r="13" ht="21.75" customHeight="1" spans="1:11" s="53" customFormat="1" x14ac:dyDescent="0.25">
      <c r="A13" s="57" t="s">
        <v>71</v>
      </c>
      <c r="B13" s="57"/>
      <c r="C13" s="57"/>
      <c r="D13" s="59"/>
      <c r="E13" s="60"/>
      <c r="F13" s="61"/>
      <c r="G13" s="61"/>
      <c r="H13" s="61"/>
      <c r="I13" s="60"/>
      <c r="J13" s="60"/>
      <c r="K13" s="60"/>
    </row>
    <row r="14" ht="21.75" customHeight="1" spans="1:11" s="53" customFormat="1" x14ac:dyDescent="0.25">
      <c r="A14" s="57" t="s">
        <v>72</v>
      </c>
      <c r="B14" s="57"/>
      <c r="C14" s="57"/>
      <c r="D14" s="59"/>
      <c r="E14" s="60"/>
      <c r="F14" s="61"/>
      <c r="G14" s="61"/>
      <c r="H14" s="61"/>
      <c r="I14" s="60"/>
      <c r="J14" s="60"/>
      <c r="K14" s="60"/>
    </row>
    <row r="15" ht="21.75" customHeight="1" spans="1:11" s="53" customFormat="1" x14ac:dyDescent="0.25">
      <c r="A15" s="62" t="s">
        <v>73</v>
      </c>
      <c r="B15" s="62"/>
      <c r="C15" s="62"/>
      <c r="D15" s="62"/>
      <c r="E15" s="62"/>
      <c r="F15" s="62"/>
      <c r="G15" s="62"/>
      <c r="H15" s="62"/>
      <c r="I15" s="62"/>
      <c r="J15" s="62"/>
      <c r="K15" s="62"/>
    </row>
    <row r="16" ht="21.75" customHeight="1" spans="1:11" s="53" customFormat="1" x14ac:dyDescent="0.25">
      <c r="A16" s="57" t="s">
        <v>74</v>
      </c>
      <c r="B16" s="58"/>
      <c r="C16" s="59"/>
      <c r="D16" s="59"/>
      <c r="E16" s="60"/>
      <c r="F16" s="60"/>
      <c r="G16" s="60"/>
      <c r="H16" s="60"/>
      <c r="I16" s="60"/>
      <c r="J16" s="60"/>
      <c r="K16" s="60"/>
    </row>
    <row r="17" ht="6" customHeight="1" spans="1:11" s="53" customFormat="1" x14ac:dyDescent="0.25">
      <c r="A17" s="57"/>
      <c r="B17" s="58"/>
      <c r="C17" s="59"/>
      <c r="D17" s="59"/>
      <c r="E17" s="60"/>
      <c r="F17" s="60"/>
      <c r="G17" s="60"/>
      <c r="H17" s="60"/>
      <c r="I17" s="60"/>
      <c r="J17" s="60"/>
      <c r="K17" s="60"/>
    </row>
    <row r="18" ht="21.75" customHeight="1" spans="1:11" s="53" customFormat="1" x14ac:dyDescent="0.25">
      <c r="A18" s="57" t="s">
        <v>75</v>
      </c>
      <c r="B18" s="58"/>
      <c r="C18" s="59"/>
      <c r="D18" s="59"/>
      <c r="E18" s="60"/>
      <c r="F18" s="60"/>
      <c r="G18" s="60"/>
      <c r="H18" s="60"/>
      <c r="I18" s="60"/>
      <c r="J18" s="60"/>
      <c r="K18" s="60"/>
    </row>
    <row r="19" ht="21.75" customHeight="1" spans="1:11" s="53" customFormat="1" x14ac:dyDescent="0.25">
      <c r="A19" s="63">
        <f>"-"&amp;" "&amp;VLOOKUP($L$2,'DANH SÁCH'!$B$8:$AH$70,4,0)&amp;" "&amp;VLOOKUP(HĐLĐ!$L$2,'DANH SÁCH'!$B$8:$AH$70,5,0)&amp;" " &amp; "(sau đây gọi là Người lao động)"</f>
      </c>
      <c r="B19" s="58"/>
      <c r="C19" s="59"/>
      <c r="D19" s="59"/>
      <c r="E19" s="64"/>
      <c r="F19" s="60"/>
      <c r="G19" s="60"/>
      <c r="H19" s="60"/>
      <c r="I19" s="60"/>
      <c r="J19" s="60"/>
      <c r="K19" s="60"/>
    </row>
    <row r="20" ht="21.75" customHeight="1" spans="1:11" s="53" customFormat="1" x14ac:dyDescent="0.25">
      <c r="A20" s="65" t="s">
        <v>76</v>
      </c>
      <c r="B20" s="65"/>
      <c r="C20" s="65"/>
      <c r="D20" s="66">
        <f>VLOOKUP($L$2,'DANH SÁCH'!$B$8:$AH$70,7,0)</f>
      </c>
      <c r="E20" s="67"/>
      <c r="F20" s="67"/>
      <c r="G20" s="60" t="s">
        <v>77</v>
      </c>
      <c r="H20" s="60">
        <f>VLOOKUP($L$2,'DANH SÁCH'!$B$8:$AH$70,6,0)</f>
      </c>
      <c r="I20" s="60"/>
      <c r="J20" s="68"/>
      <c r="K20" s="60"/>
    </row>
    <row r="21" ht="21.75" customHeight="1" spans="1:11" s="53" customFormat="1" x14ac:dyDescent="0.25">
      <c r="A21" s="65" t="s">
        <v>78</v>
      </c>
      <c r="B21" s="65"/>
      <c r="C21" s="65">
        <f>VLOOKUP($L$2,'DANH SÁCH'!B8:AH70,19,0)</f>
      </c>
      <c r="D21" s="65"/>
      <c r="E21" s="65"/>
      <c r="F21" s="65"/>
      <c r="G21" s="65"/>
      <c r="H21" s="65"/>
      <c r="I21" s="65"/>
      <c r="J21" s="65"/>
      <c r="K21" s="65"/>
    </row>
    <row r="22" ht="21.75" customHeight="1" spans="1:11" s="53" customFormat="1" x14ac:dyDescent="0.25">
      <c r="A22" s="57" t="s">
        <v>79</v>
      </c>
      <c r="B22" s="57"/>
      <c r="C22" s="65">
        <f>VLOOKUP($L$2,'DANH SÁCH'!$B$8:$AH$70,8,0)</f>
      </c>
      <c r="D22" s="65"/>
      <c r="E22" s="65"/>
      <c r="F22" s="69"/>
      <c r="G22" s="60" t="s">
        <v>80</v>
      </c>
      <c r="H22" s="70">
        <f>VLOOKUP($L$2,'DANH SÁCH'!$B$8:$AH$70,9,0)</f>
      </c>
      <c r="I22" s="60"/>
      <c r="J22" s="60"/>
      <c r="K22" s="60"/>
    </row>
    <row r="23" ht="21.75" customHeight="1" spans="1:11" s="53" customFormat="1" x14ac:dyDescent="0.25">
      <c r="A23" s="65">
        <f>"Nơi cấp:"&amp;" "&amp;VLOOKUP($L$2,'DANH SÁCH'!$B$8:$AH$70,10,0)</f>
      </c>
      <c r="B23" s="65"/>
      <c r="C23" s="65"/>
      <c r="D23" s="65"/>
      <c r="E23" s="65"/>
      <c r="F23" s="65"/>
      <c r="G23" s="65"/>
      <c r="H23" s="65"/>
      <c r="I23" s="65"/>
      <c r="J23" s="65"/>
      <c r="K23" s="65"/>
    </row>
    <row r="24" ht="21.75" customHeight="1" spans="1:11" s="53" customFormat="1" x14ac:dyDescent="0.25">
      <c r="A24" s="58" t="s">
        <v>81</v>
      </c>
      <c r="B24" s="65">
        <f>VLOOKUP($L$2,'DANH SÁCH'!B8:AH70,11,0)</f>
      </c>
      <c r="C24" s="65"/>
      <c r="D24" s="65"/>
      <c r="E24" s="69" t="s">
        <v>80</v>
      </c>
      <c r="F24" s="66">
        <f>VLOOKUP($L$2,'DANH SÁCH'!$B$8:$AH$70,12,0)</f>
      </c>
      <c r="G24" s="67"/>
      <c r="H24" s="60" t="s">
        <v>82</v>
      </c>
      <c r="I24" s="60"/>
      <c r="J24" s="68"/>
      <c r="K24" s="60"/>
    </row>
    <row r="25" ht="21.75" customHeight="1" spans="1:11" s="53" customFormat="1" x14ac:dyDescent="0.25">
      <c r="A25" s="65" t="s">
        <v>83</v>
      </c>
      <c r="B25" s="65"/>
      <c r="C25" s="65"/>
      <c r="D25" s="65">
        <f>VLOOKUP($L$2,'DANH SÁCH'!$B$8:$AH$70,14,0)</f>
      </c>
      <c r="E25" s="65"/>
      <c r="F25" s="65"/>
      <c r="G25" s="60" t="s">
        <v>84</v>
      </c>
      <c r="H25" s="60">
        <f>VLOOKUP($L$2,'DANH SÁCH'!$B$8:$AH$70,16,0)</f>
      </c>
      <c r="I25" s="60"/>
      <c r="J25" s="68"/>
      <c r="K25" s="60"/>
    </row>
    <row r="26" ht="21.75" customHeight="1" spans="1:11" s="53" customFormat="1" x14ac:dyDescent="0.25">
      <c r="A26" s="65" t="s">
        <v>85</v>
      </c>
      <c r="B26" s="65"/>
      <c r="C26" s="65"/>
      <c r="D26" s="65"/>
      <c r="E26" s="58">
        <f>VLOOKUP($L$2,'DANH SÁCH'!$B$8:$AH$70,15,0)</f>
      </c>
      <c r="F26" s="65"/>
      <c r="G26" s="60"/>
      <c r="H26" s="60"/>
      <c r="I26" s="60"/>
      <c r="J26" s="68"/>
      <c r="K26" s="60"/>
    </row>
    <row r="27" ht="21.75" customHeight="1" spans="1:11" s="53" customFormat="1" x14ac:dyDescent="0.25">
      <c r="A27" s="65" t="s">
        <v>86</v>
      </c>
      <c r="B27" s="65"/>
      <c r="C27" s="65"/>
      <c r="D27" s="65"/>
      <c r="E27" s="65">
        <f>VLOOKUP($L$2,'DANH SÁCH'!$B$8:$AH$70,19,0)</f>
      </c>
      <c r="F27" s="65"/>
      <c r="G27" s="65"/>
      <c r="H27" s="65"/>
      <c r="I27" s="65"/>
      <c r="J27" s="65"/>
      <c r="K27" s="65"/>
    </row>
    <row r="28" ht="57.75" customHeight="1" spans="1:11" s="53" customFormat="1" x14ac:dyDescent="0.25">
      <c r="A28" s="65">
        <f> " Căn cứ vào Hợp đồng cung ứng lao động ngày 27/06/2024 ký giữa Công Ty TNHH Đào Tạo Và Cung Ứng Nhân Lực Nhật Tân với" &amp;" "&amp; VLOOKUP($L$2,'DANH SÁCH'!$B$8:$AH$70,20,0) &amp;" " &amp;"và thông báo việc người lao động đã trúng tuyển đi làm việc ở nước ngoài ngày" &amp;" "&amp;DAY('DANH SÁCH'!R10)&amp; " "&amp;"tháng"&amp;" "&amp;MONTH('DANH SÁCH'!R10)&amp;" "&amp;"năm"&amp;" "&amp;YEAR('DANH SÁCH'!R10)&amp;"."</f>
      </c>
      <c r="B28" s="65"/>
      <c r="C28" s="65"/>
      <c r="D28" s="65"/>
      <c r="E28" s="65"/>
      <c r="F28" s="65"/>
      <c r="G28" s="65"/>
      <c r="H28" s="65"/>
      <c r="I28" s="65"/>
      <c r="J28" s="65"/>
      <c r="K28" s="65"/>
    </row>
    <row r="29" ht="19.5" customHeight="1" spans="1:11" s="53" customFormat="1" x14ac:dyDescent="0.25">
      <c r="A29" s="65" t="s">
        <v>87</v>
      </c>
      <c r="B29" s="65"/>
      <c r="C29" s="65"/>
      <c r="D29" s="65"/>
      <c r="E29" s="65"/>
      <c r="F29" s="65"/>
      <c r="G29" s="65"/>
      <c r="H29" s="65"/>
      <c r="I29" s="65"/>
      <c r="J29" s="65"/>
      <c r="K29" s="65"/>
    </row>
    <row r="30" ht="24" customHeight="1" spans="1:11" s="53" customFormat="1" x14ac:dyDescent="0.25">
      <c r="A30" s="71" t="s">
        <v>88</v>
      </c>
      <c r="B30" s="71"/>
      <c r="C30" s="71"/>
      <c r="D30" s="71"/>
      <c r="E30" s="71"/>
      <c r="F30" s="60"/>
      <c r="G30" s="60"/>
      <c r="H30" s="60"/>
      <c r="I30" s="60"/>
      <c r="J30" s="60"/>
      <c r="K30" s="60"/>
    </row>
    <row r="31" ht="22.5" customHeight="1" spans="1:11" s="53" customFormat="1" x14ac:dyDescent="0.25">
      <c r="A31" s="72" t="s">
        <v>89</v>
      </c>
      <c r="B31" s="73"/>
      <c r="C31" s="74"/>
      <c r="D31" s="75"/>
      <c r="E31" s="74"/>
      <c r="F31" s="74"/>
      <c r="G31" s="74"/>
      <c r="H31" s="74"/>
      <c r="I31" s="74"/>
      <c r="J31" s="74"/>
      <c r="K31" s="74"/>
    </row>
    <row r="32" ht="22.5" customHeight="1" spans="1:11" s="53" customFormat="1" x14ac:dyDescent="0.25">
      <c r="A32" s="74" t="s">
        <v>90</v>
      </c>
      <c r="B32" s="74"/>
      <c r="C32" s="74"/>
      <c r="D32" s="74">
        <f>VLOOKUP($L$2,'DANH SÁCH'!$B$8:$AH$70,22,0)</f>
      </c>
      <c r="E32" s="74"/>
      <c r="F32" s="74"/>
      <c r="G32" s="74"/>
      <c r="H32" s="74"/>
      <c r="I32" s="74"/>
      <c r="J32" s="74"/>
      <c r="K32" s="74"/>
    </row>
    <row r="33" ht="22.5" customHeight="1" spans="1:11" s="53" customFormat="1" x14ac:dyDescent="0.25">
      <c r="A33" s="74" t="s">
        <v>91</v>
      </c>
      <c r="B33" s="74"/>
      <c r="C33" s="72">
        <f>VLOOKUP($L$2,'DANH SÁCH'!$B$8:$AH$70,23,0)</f>
      </c>
      <c r="D33" s="76"/>
      <c r="E33" s="76"/>
      <c r="F33" s="76"/>
      <c r="G33" s="76"/>
      <c r="H33" s="76"/>
      <c r="I33" s="76"/>
      <c r="J33" s="76"/>
      <c r="K33" s="76"/>
    </row>
    <row r="34" ht="22.5" customHeight="1" spans="1:11" s="53" customFormat="1" x14ac:dyDescent="0.25">
      <c r="A34" s="74" t="s">
        <v>92</v>
      </c>
      <c r="B34" s="74"/>
      <c r="C34" s="74"/>
      <c r="D34" s="74">
        <f>VLOOKUP($L$2,'DANH SÁCH'!$B$8:$AH$70,21,0)</f>
      </c>
      <c r="E34" s="74"/>
      <c r="F34" s="74"/>
      <c r="G34" s="74"/>
      <c r="H34" s="74"/>
      <c r="I34" s="74"/>
      <c r="J34" s="74"/>
      <c r="K34" s="74"/>
    </row>
    <row r="35" ht="22.5" customHeight="1" spans="1:11" s="53" customFormat="1" x14ac:dyDescent="0.25">
      <c r="A35" s="74" t="s">
        <v>93</v>
      </c>
      <c r="B35" s="74"/>
      <c r="C35" s="74"/>
      <c r="D35" s="74"/>
      <c r="E35" s="72">
        <f>VLOOKUP($L$2,'DANH SÁCH'!$B$8:$AH$70,24,0)</f>
      </c>
      <c r="F35" s="72"/>
      <c r="G35" s="72"/>
      <c r="H35" s="74" t="s">
        <v>94</v>
      </c>
      <c r="I35" s="60"/>
      <c r="J35" s="74"/>
      <c r="K35" s="74"/>
    </row>
    <row r="36" ht="22.5" customHeight="1" spans="1:11" s="53" customFormat="1" x14ac:dyDescent="0.25">
      <c r="A36" s="74" t="s">
        <v>95</v>
      </c>
      <c r="B36" s="74">
        <f>VLOOKUP($L$2,'DANH SÁCH'!$B$8:$AH$70,25,0)</f>
      </c>
      <c r="C36" s="74"/>
      <c r="D36" s="74"/>
      <c r="E36" s="77"/>
      <c r="F36" s="77"/>
      <c r="G36" s="77"/>
      <c r="H36" s="78"/>
      <c r="I36" s="72"/>
      <c r="J36" s="72"/>
      <c r="K36" s="72"/>
    </row>
    <row r="37" ht="25.5" customHeight="1" spans="1:11" s="53" customFormat="1" x14ac:dyDescent="0.25">
      <c r="A37" s="79" t="s">
        <v>96</v>
      </c>
      <c r="B37" s="80"/>
      <c r="C37" s="80"/>
      <c r="D37" s="80"/>
      <c r="E37" s="80"/>
      <c r="F37" s="80"/>
      <c r="G37" s="74"/>
      <c r="H37" s="74"/>
      <c r="I37" s="74"/>
      <c r="J37" s="74"/>
      <c r="K37" s="74"/>
    </row>
    <row r="38" ht="50.25" customHeight="1" spans="1:11" s="53" customFormat="1" x14ac:dyDescent="0.25">
      <c r="A38" s="65" t="s">
        <v>97</v>
      </c>
      <c r="B38" s="65"/>
      <c r="C38" s="65"/>
      <c r="D38" s="65"/>
      <c r="E38" s="65"/>
      <c r="F38" s="65"/>
      <c r="G38" s="65"/>
      <c r="H38" s="65"/>
      <c r="I38" s="65"/>
      <c r="J38" s="65"/>
      <c r="K38" s="65"/>
    </row>
    <row r="39" ht="36" customHeight="1" spans="1:11" s="53" customFormat="1" x14ac:dyDescent="0.25">
      <c r="A39" s="65" t="s">
        <v>98</v>
      </c>
      <c r="B39" s="65"/>
      <c r="C39" s="65"/>
      <c r="D39" s="65"/>
      <c r="E39" s="65"/>
      <c r="F39" s="65"/>
      <c r="G39" s="65"/>
      <c r="H39" s="65"/>
      <c r="I39" s="65"/>
      <c r="J39" s="65"/>
      <c r="K39" s="65"/>
    </row>
    <row r="40" ht="39" customHeight="1" spans="1:11" s="53" customFormat="1" x14ac:dyDescent="0.25">
      <c r="A40" s="65" t="s">
        <v>99</v>
      </c>
      <c r="B40" s="65"/>
      <c r="C40" s="65"/>
      <c r="D40" s="65"/>
      <c r="E40" s="65"/>
      <c r="F40" s="65"/>
      <c r="G40" s="65"/>
      <c r="H40" s="65"/>
      <c r="I40" s="65"/>
      <c r="J40" s="65"/>
      <c r="K40" s="65"/>
    </row>
    <row r="41" ht="21" customHeight="1" spans="1:11" s="53" customFormat="1" x14ac:dyDescent="0.25">
      <c r="A41" s="60" t="s">
        <v>100</v>
      </c>
      <c r="B41" s="60"/>
      <c r="C41" s="60"/>
      <c r="D41" s="60"/>
      <c r="E41" s="60"/>
      <c r="F41" s="60"/>
      <c r="G41" s="60"/>
      <c r="H41" s="81"/>
      <c r="I41" s="60"/>
      <c r="J41" s="60"/>
      <c r="K41" s="60"/>
    </row>
    <row r="42" ht="21" customHeight="1" spans="1:11" s="53" customFormat="1" x14ac:dyDescent="0.25">
      <c r="A42" s="60" t="s">
        <v>101</v>
      </c>
      <c r="B42" s="74"/>
      <c r="C42" s="60"/>
      <c r="D42" s="60"/>
      <c r="E42" s="60"/>
      <c r="F42" s="60"/>
      <c r="G42" s="60"/>
      <c r="H42" s="81" t="s">
        <v>102</v>
      </c>
      <c r="I42" s="60"/>
      <c r="J42" s="60"/>
      <c r="K42" s="60"/>
    </row>
    <row r="43" ht="21" customHeight="1" spans="1:11" s="53" customFormat="1" x14ac:dyDescent="0.25">
      <c r="A43" s="65" t="s">
        <v>103</v>
      </c>
      <c r="B43" s="65"/>
      <c r="C43" s="65"/>
      <c r="D43" s="65"/>
      <c r="E43" s="65"/>
      <c r="F43" s="65"/>
      <c r="G43" s="65"/>
      <c r="H43" s="65"/>
      <c r="I43" s="65"/>
      <c r="J43" s="65"/>
      <c r="K43" s="65"/>
    </row>
    <row r="44" ht="21" customHeight="1" spans="1:11" s="53" customFormat="1" x14ac:dyDescent="0.25">
      <c r="A44" s="60" t="s">
        <v>104</v>
      </c>
      <c r="B44" s="60"/>
      <c r="C44" s="60"/>
      <c r="D44" s="60"/>
      <c r="E44" s="60"/>
      <c r="F44" s="60"/>
      <c r="G44" s="60"/>
      <c r="H44" s="81" t="s">
        <v>105</v>
      </c>
      <c r="I44" s="60"/>
      <c r="J44" s="60"/>
      <c r="K44" s="60"/>
    </row>
    <row r="45" ht="21" customHeight="1" spans="1:11" s="53" customFormat="1" x14ac:dyDescent="0.25">
      <c r="A45" s="60" t="s">
        <v>106</v>
      </c>
      <c r="B45" s="60"/>
      <c r="C45" s="60"/>
      <c r="D45" s="60"/>
      <c r="E45" s="60"/>
      <c r="F45" s="60"/>
      <c r="G45" s="60"/>
      <c r="H45" s="81" t="s">
        <v>107</v>
      </c>
      <c r="I45" s="60"/>
      <c r="J45" s="60"/>
      <c r="K45" s="60"/>
    </row>
    <row r="46" ht="21" customHeight="1" spans="1:11" s="53" customFormat="1" x14ac:dyDescent="0.25">
      <c r="A46" s="60" t="s">
        <v>108</v>
      </c>
      <c r="B46" s="60"/>
      <c r="C46" s="60"/>
      <c r="D46" s="60"/>
      <c r="E46" s="60"/>
      <c r="F46" s="60"/>
      <c r="G46" s="60"/>
      <c r="H46" s="81" t="s">
        <v>109</v>
      </c>
      <c r="I46" s="60"/>
      <c r="J46" s="60"/>
      <c r="K46" s="60"/>
    </row>
    <row r="47" ht="21" customHeight="1" spans="1:11" s="53" customFormat="1" x14ac:dyDescent="0.25">
      <c r="A47" s="60" t="s">
        <v>110</v>
      </c>
      <c r="B47" s="60"/>
      <c r="C47" s="60"/>
      <c r="D47" s="60"/>
      <c r="E47" s="60"/>
      <c r="F47" s="60"/>
      <c r="G47" s="60"/>
      <c r="H47" s="81" t="s">
        <v>111</v>
      </c>
      <c r="I47" s="60"/>
      <c r="J47" s="60"/>
      <c r="K47" s="60"/>
    </row>
    <row r="48" ht="21" customHeight="1" spans="1:11" s="53" customFormat="1" x14ac:dyDescent="0.25">
      <c r="A48" s="60" t="s">
        <v>112</v>
      </c>
      <c r="B48" s="60"/>
      <c r="C48" s="60"/>
      <c r="D48" s="60"/>
      <c r="E48" s="60"/>
      <c r="F48" s="60"/>
      <c r="G48" s="60"/>
      <c r="H48" s="81" t="s">
        <v>109</v>
      </c>
      <c r="I48" s="60"/>
      <c r="J48" s="60"/>
      <c r="K48" s="60"/>
    </row>
    <row r="49" ht="21" customHeight="1" spans="1:11" s="53" customFormat="1" x14ac:dyDescent="0.25">
      <c r="A49" s="60" t="s">
        <v>113</v>
      </c>
      <c r="B49" s="60"/>
      <c r="C49" s="60"/>
      <c r="D49" s="60"/>
      <c r="E49" s="60"/>
      <c r="F49" s="60"/>
      <c r="G49" s="60"/>
      <c r="H49" s="81" t="s">
        <v>114</v>
      </c>
      <c r="I49" s="60"/>
      <c r="J49" s="60"/>
      <c r="K49" s="60"/>
    </row>
    <row r="50" ht="21" customHeight="1" spans="1:11" s="53" customFormat="1" x14ac:dyDescent="0.25">
      <c r="A50" s="60" t="s">
        <v>115</v>
      </c>
      <c r="B50" s="60"/>
      <c r="C50" s="60"/>
      <c r="D50" s="60"/>
      <c r="E50" s="60"/>
      <c r="F50" s="60"/>
      <c r="G50" s="60"/>
      <c r="H50" s="81"/>
      <c r="I50" s="60"/>
      <c r="J50" s="60"/>
      <c r="K50" s="60"/>
    </row>
    <row r="51" ht="21" customHeight="1" spans="1:11" s="53" customFormat="1" x14ac:dyDescent="0.25">
      <c r="A51" s="60" t="s">
        <v>116</v>
      </c>
      <c r="B51" s="60"/>
      <c r="C51" s="60"/>
      <c r="D51" s="60"/>
      <c r="E51" s="60"/>
      <c r="F51" s="60"/>
      <c r="G51" s="60"/>
      <c r="H51" s="81" t="s">
        <v>117</v>
      </c>
      <c r="I51" s="60"/>
      <c r="J51" s="60"/>
      <c r="K51" s="60"/>
    </row>
    <row r="52" ht="21" customHeight="1" spans="1:11" s="53" customFormat="1" x14ac:dyDescent="0.25">
      <c r="A52" s="74" t="s">
        <v>118</v>
      </c>
      <c r="B52" s="74"/>
      <c r="C52" s="74"/>
      <c r="D52" s="74"/>
      <c r="E52" s="74"/>
      <c r="F52" s="74"/>
      <c r="G52" s="74"/>
      <c r="H52" s="82" t="s">
        <v>119</v>
      </c>
      <c r="I52" s="74"/>
      <c r="J52" s="60"/>
      <c r="K52" s="60"/>
    </row>
    <row r="53" ht="21" customHeight="1" spans="1:11" s="53" customFormat="1" x14ac:dyDescent="0.25">
      <c r="A53" s="60" t="s">
        <v>120</v>
      </c>
      <c r="B53" s="60"/>
      <c r="C53" s="60"/>
      <c r="D53" s="60"/>
      <c r="E53" s="60"/>
      <c r="F53" s="60"/>
      <c r="G53" s="60"/>
      <c r="H53" s="81" t="s">
        <v>121</v>
      </c>
      <c r="I53" s="60"/>
      <c r="J53" s="60"/>
      <c r="K53" s="60"/>
    </row>
    <row r="54" ht="21" customHeight="1" spans="1:11" s="53" customFormat="1" x14ac:dyDescent="0.25">
      <c r="A54" s="60" t="s">
        <v>122</v>
      </c>
      <c r="B54" s="60"/>
      <c r="C54" s="60"/>
      <c r="D54" s="60"/>
      <c r="E54" s="60"/>
      <c r="F54" s="60"/>
      <c r="G54" s="60"/>
      <c r="H54" s="81" t="s">
        <v>123</v>
      </c>
      <c r="I54" s="60"/>
      <c r="J54" s="60"/>
      <c r="K54" s="60"/>
    </row>
    <row r="55" ht="18" customHeight="1" spans="1:11" s="53" customFormat="1" x14ac:dyDescent="0.25">
      <c r="A55" s="63" t="s">
        <v>124</v>
      </c>
      <c r="B55" s="63"/>
      <c r="C55" s="63"/>
      <c r="D55" s="63"/>
      <c r="E55" s="63"/>
      <c r="F55" s="63"/>
      <c r="G55" s="63"/>
      <c r="H55" s="83" t="s">
        <v>125</v>
      </c>
      <c r="I55" s="63"/>
      <c r="J55" s="60"/>
      <c r="K55" s="60"/>
    </row>
    <row r="56" ht="18" customHeight="1" spans="1:11" s="53" customFormat="1" x14ac:dyDescent="0.25">
      <c r="A56" s="63" t="s">
        <v>126</v>
      </c>
      <c r="B56" s="60"/>
      <c r="C56" s="60"/>
      <c r="D56" s="60"/>
      <c r="E56" s="60"/>
      <c r="F56" s="60"/>
      <c r="G56" s="60"/>
      <c r="H56" s="81"/>
      <c r="I56" s="60"/>
      <c r="J56" s="60"/>
      <c r="K56" s="60"/>
    </row>
    <row r="57" ht="20.25" customHeight="1" spans="1:11" s="53" customFormat="1" x14ac:dyDescent="0.25">
      <c r="A57" s="57" t="s">
        <v>127</v>
      </c>
      <c r="B57" s="60"/>
      <c r="C57" s="60"/>
      <c r="D57" s="60"/>
      <c r="E57" s="60"/>
      <c r="F57" s="60"/>
      <c r="G57" s="60"/>
      <c r="H57" s="81"/>
      <c r="I57" s="60"/>
      <c r="J57" s="60"/>
      <c r="K57" s="60"/>
    </row>
    <row r="58" ht="20.25" customHeight="1" spans="1:11" s="53" customFormat="1" x14ac:dyDescent="0.25">
      <c r="A58" s="60" t="s">
        <v>128</v>
      </c>
      <c r="B58" s="60"/>
      <c r="C58" s="60"/>
      <c r="D58" s="60"/>
      <c r="E58" s="60"/>
      <c r="F58" s="60"/>
      <c r="G58" s="60"/>
      <c r="H58" s="81"/>
      <c r="I58" s="60"/>
      <c r="J58" s="60"/>
      <c r="K58" s="60"/>
    </row>
    <row r="59" ht="20.25" customHeight="1" spans="1:11" s="53" customFormat="1" x14ac:dyDescent="0.25">
      <c r="A59" s="60" t="s">
        <v>129</v>
      </c>
      <c r="B59" s="60"/>
      <c r="C59" s="60"/>
      <c r="D59" s="60"/>
      <c r="E59" s="60"/>
      <c r="F59" s="60"/>
      <c r="G59" s="60"/>
      <c r="H59" s="81"/>
      <c r="I59" s="60"/>
      <c r="J59" s="60"/>
      <c r="K59" s="60"/>
    </row>
    <row r="60" ht="20.25" customHeight="1" spans="1:11" s="53" customFormat="1" x14ac:dyDescent="0.25">
      <c r="A60" s="60" t="s">
        <v>130</v>
      </c>
      <c r="B60" s="60"/>
      <c r="C60" s="60"/>
      <c r="D60" s="60"/>
      <c r="E60" s="60"/>
      <c r="F60" s="60"/>
      <c r="G60" s="60"/>
      <c r="H60" s="81"/>
      <c r="I60" s="60"/>
      <c r="J60" s="60"/>
      <c r="K60" s="60"/>
    </row>
    <row r="61" ht="20.25" customHeight="1" spans="1:11" s="53" customFormat="1" x14ac:dyDescent="0.25">
      <c r="A61" s="60" t="s">
        <v>131</v>
      </c>
      <c r="B61" s="60"/>
      <c r="C61" s="60"/>
      <c r="D61" s="84">
        <f>VLOOKUP($L$2,'DANH SÁCH'!$B$8:$AH$70,26,0)</f>
      </c>
      <c r="E61" s="60" t="s">
        <v>132</v>
      </c>
      <c r="F61" s="60"/>
      <c r="G61" s="60"/>
      <c r="H61" s="60"/>
      <c r="I61" s="60"/>
      <c r="J61" s="60"/>
      <c r="K61" s="60"/>
    </row>
    <row r="62" ht="55.5" customHeight="1" spans="1:11" s="53" customFormat="1" x14ac:dyDescent="0.25">
      <c r="A62" s="65" t="s">
        <v>133</v>
      </c>
      <c r="B62" s="65"/>
      <c r="C62" s="65"/>
      <c r="D62" s="65"/>
      <c r="E62" s="65"/>
      <c r="F62" s="65"/>
      <c r="G62" s="65"/>
      <c r="H62" s="65"/>
      <c r="I62" s="65"/>
      <c r="J62" s="65"/>
      <c r="K62" s="65"/>
    </row>
    <row r="63" ht="20.25" customHeight="1" spans="1:11" s="53" customFormat="1" x14ac:dyDescent="0.25">
      <c r="A63" s="65" t="s">
        <v>134</v>
      </c>
      <c r="B63" s="65"/>
      <c r="C63" s="65"/>
      <c r="D63" s="65"/>
      <c r="E63" s="65"/>
      <c r="F63" s="65"/>
      <c r="G63" s="65"/>
      <c r="H63" s="65"/>
      <c r="I63" s="65"/>
      <c r="J63" s="65"/>
      <c r="K63" s="65"/>
    </row>
    <row r="64" ht="36" customHeight="1" spans="1:11" s="53" customFormat="1" x14ac:dyDescent="0.25">
      <c r="A64" s="65" t="s">
        <v>135</v>
      </c>
      <c r="B64" s="65"/>
      <c r="C64" s="65"/>
      <c r="D64" s="65"/>
      <c r="E64" s="65"/>
      <c r="F64" s="65"/>
      <c r="G64" s="65"/>
      <c r="H64" s="65"/>
      <c r="I64" s="65"/>
      <c r="J64" s="65"/>
      <c r="K64" s="65"/>
    </row>
    <row r="65" ht="92.25" customHeight="1" spans="1:11" s="53" customFormat="1" x14ac:dyDescent="0.25">
      <c r="A65" s="65" t="s">
        <v>136</v>
      </c>
      <c r="B65" s="65"/>
      <c r="C65" s="65"/>
      <c r="D65" s="65"/>
      <c r="E65" s="65"/>
      <c r="F65" s="65"/>
      <c r="G65" s="65"/>
      <c r="H65" s="65"/>
      <c r="I65" s="65"/>
      <c r="J65" s="65"/>
      <c r="K65" s="65"/>
    </row>
    <row r="66" ht="31.5" customHeight="1" spans="1:11" s="53" customFormat="1" x14ac:dyDescent="0.25">
      <c r="A66" s="65" t="s">
        <v>137</v>
      </c>
      <c r="B66" s="65"/>
      <c r="C66" s="65"/>
      <c r="D66" s="65"/>
      <c r="E66" s="65"/>
      <c r="F66" s="65"/>
      <c r="G66" s="65"/>
      <c r="H66" s="65"/>
      <c r="I66" s="65"/>
      <c r="J66" s="65"/>
      <c r="K66" s="65"/>
    </row>
    <row r="67" ht="21.75" customHeight="1" spans="1:11" s="53" customFormat="1" x14ac:dyDescent="0.25">
      <c r="A67" s="60" t="s">
        <v>138</v>
      </c>
      <c r="B67" s="60"/>
      <c r="C67" s="60"/>
      <c r="D67" s="60"/>
      <c r="E67" s="60"/>
      <c r="F67" s="60"/>
      <c r="G67" s="60"/>
      <c r="H67" s="81"/>
      <c r="I67" s="60"/>
      <c r="J67" s="60"/>
      <c r="K67" s="60"/>
    </row>
    <row r="68" ht="21.75" customHeight="1" spans="1:11" s="53" customFormat="1" x14ac:dyDescent="0.25">
      <c r="A68" s="74" t="s">
        <v>139</v>
      </c>
      <c r="B68" s="74"/>
      <c r="C68" s="74"/>
      <c r="D68" s="74"/>
      <c r="E68" s="74"/>
      <c r="F68" s="74"/>
      <c r="G68" s="74"/>
      <c r="H68" s="82"/>
      <c r="I68" s="74"/>
      <c r="J68" s="74"/>
      <c r="K68" s="74"/>
    </row>
    <row r="69" ht="21.75" customHeight="1" spans="1:11" s="53" customFormat="1" x14ac:dyDescent="0.25">
      <c r="A69" s="74" t="s">
        <v>140</v>
      </c>
      <c r="B69" s="85">
        <f>VLOOKUP($L$2,'DANH SÁCH'!$B$8:$AH$70,27,0)</f>
      </c>
      <c r="C69" s="85"/>
      <c r="D69" s="74" t="s">
        <v>141</v>
      </c>
      <c r="E69" s="74"/>
      <c r="F69" s="74"/>
      <c r="G69" s="74"/>
      <c r="H69" s="82"/>
      <c r="I69" s="74"/>
      <c r="J69" s="74"/>
      <c r="K69" s="74"/>
    </row>
    <row r="70" ht="21.75" customHeight="1" spans="1:11" s="53" customFormat="1" x14ac:dyDescent="0.25">
      <c r="A70" s="74" t="s">
        <v>142</v>
      </c>
      <c r="B70" s="85"/>
      <c r="C70" s="85"/>
      <c r="D70" s="74"/>
      <c r="E70" s="74"/>
      <c r="F70" s="86"/>
      <c r="G70" s="74"/>
      <c r="H70" s="82"/>
      <c r="I70" s="86"/>
      <c r="J70" s="74"/>
      <c r="K70" s="74"/>
    </row>
    <row r="71" ht="30.75" customHeight="1" spans="1:11" s="53" customFormat="1" x14ac:dyDescent="0.25">
      <c r="A71" s="87" t="s">
        <v>143</v>
      </c>
      <c r="B71" s="87"/>
      <c r="C71" s="87"/>
      <c r="D71" s="87"/>
      <c r="E71" s="87"/>
      <c r="F71" s="87"/>
      <c r="G71" s="87"/>
      <c r="H71" s="87"/>
      <c r="I71" s="87"/>
      <c r="J71" s="87"/>
      <c r="K71" s="87"/>
    </row>
    <row r="72" ht="21.75" customHeight="1" spans="1:11" s="53" customFormat="1" x14ac:dyDescent="0.25">
      <c r="A72" s="87" t="s">
        <v>144</v>
      </c>
      <c r="B72" s="87"/>
      <c r="C72" s="87"/>
      <c r="D72" s="87"/>
      <c r="E72" s="87"/>
      <c r="F72" s="87"/>
      <c r="G72" s="87"/>
      <c r="H72" s="87"/>
      <c r="I72" s="87"/>
      <c r="J72" s="87"/>
      <c r="K72" s="87"/>
    </row>
    <row r="73" ht="21.75" customHeight="1" spans="1:11" s="53" customFormat="1" x14ac:dyDescent="0.25">
      <c r="A73" s="87" t="s">
        <v>145</v>
      </c>
      <c r="B73" s="87"/>
      <c r="C73" s="87"/>
      <c r="D73" s="87"/>
      <c r="E73" s="87"/>
      <c r="F73" s="87"/>
      <c r="G73" s="87"/>
      <c r="H73" s="87"/>
      <c r="I73" s="87"/>
      <c r="J73" s="87"/>
      <c r="K73" s="87"/>
    </row>
    <row r="74" ht="21.75" customHeight="1" spans="1:11" s="53" customFormat="1" x14ac:dyDescent="0.25">
      <c r="A74" s="74" t="s">
        <v>146</v>
      </c>
      <c r="B74" s="74"/>
      <c r="C74" s="74"/>
      <c r="D74" s="74"/>
      <c r="E74" s="74"/>
      <c r="F74" s="74"/>
      <c r="G74" s="74"/>
      <c r="H74" s="82"/>
      <c r="I74" s="74"/>
      <c r="J74" s="74"/>
      <c r="K74" s="74"/>
    </row>
    <row r="75" ht="21.75" customHeight="1" spans="1:11" s="53" customFormat="1" x14ac:dyDescent="0.25">
      <c r="A75" s="72" t="s">
        <v>147</v>
      </c>
      <c r="B75" s="88">
        <f>VLOOKUP($L$2,'DANH SÁCH'!$B$8:$AH$70,28,0)</f>
      </c>
      <c r="C75" s="89"/>
      <c r="D75" s="74" t="s">
        <v>148</v>
      </c>
      <c r="E75" s="74"/>
      <c r="F75" s="74"/>
      <c r="G75" s="74"/>
      <c r="H75" s="82"/>
      <c r="I75" s="74"/>
      <c r="J75" s="74"/>
      <c r="K75" s="74"/>
    </row>
    <row r="76" ht="21.75" customHeight="1" spans="1:11" s="53" customFormat="1" x14ac:dyDescent="0.25">
      <c r="A76" s="74" t="s">
        <v>149</v>
      </c>
      <c r="B76" s="74"/>
      <c r="C76" s="74"/>
      <c r="D76" s="74"/>
      <c r="E76" s="86">
        <f>VLOOKUP($L$2,'DANH SÁCH'!$B$8:$AH$70,29,0)</f>
      </c>
      <c r="F76" s="74" t="s">
        <v>148</v>
      </c>
      <c r="G76" s="74"/>
      <c r="H76" s="82"/>
      <c r="I76" s="74"/>
      <c r="J76" s="74"/>
      <c r="K76" s="74"/>
    </row>
    <row r="77" ht="21.75" customHeight="1" spans="1:11" s="53" customFormat="1" x14ac:dyDescent="0.25">
      <c r="A77" s="72" t="s">
        <v>150</v>
      </c>
      <c r="B77" s="85">
        <f>VLOOKUP($L$2,'DANH SÁCH'!$B$8:$AH$70,30,0)</f>
      </c>
      <c r="C77" s="90"/>
      <c r="D77" s="74" t="s">
        <v>148</v>
      </c>
      <c r="E77" s="74"/>
      <c r="F77" s="74"/>
      <c r="G77" s="74"/>
      <c r="H77" s="82"/>
      <c r="I77" s="74"/>
      <c r="J77" s="74"/>
      <c r="K77" s="74"/>
    </row>
    <row r="78" ht="20.25" customHeight="1" spans="1:11" s="53" customFormat="1" x14ac:dyDescent="0.25">
      <c r="A78" s="74" t="s">
        <v>151</v>
      </c>
      <c r="B78" s="74"/>
      <c r="C78" s="74"/>
      <c r="D78" s="74"/>
      <c r="E78" s="74"/>
      <c r="F78" s="74"/>
      <c r="G78" s="74"/>
      <c r="H78" s="82"/>
      <c r="I78" s="74"/>
      <c r="J78" s="74"/>
      <c r="K78" s="74"/>
    </row>
    <row r="79" ht="53.25" customHeight="1" spans="1:11" s="91" customFormat="1" x14ac:dyDescent="0.25">
      <c r="A79" s="65" t="s">
        <v>152</v>
      </c>
      <c r="B79" s="65"/>
      <c r="C79" s="65"/>
      <c r="D79" s="65"/>
      <c r="E79" s="65"/>
      <c r="F79" s="65"/>
      <c r="G79" s="65"/>
      <c r="H79" s="65"/>
      <c r="I79" s="65"/>
      <c r="J79" s="65"/>
      <c r="K79" s="65"/>
    </row>
    <row r="80" ht="22.5" customHeight="1" spans="1:11" s="53" customFormat="1" x14ac:dyDescent="0.25">
      <c r="A80" s="58" t="s">
        <v>153</v>
      </c>
      <c r="B80" s="60"/>
      <c r="C80" s="60"/>
      <c r="D80" s="60"/>
      <c r="E80" s="60"/>
      <c r="F80" s="60"/>
      <c r="G80" s="60"/>
      <c r="H80" s="60"/>
      <c r="I80" s="60"/>
      <c r="J80" s="60"/>
      <c r="K80" s="60"/>
    </row>
    <row r="81" ht="22.5" customHeight="1" spans="1:11" s="53" customFormat="1" x14ac:dyDescent="0.25">
      <c r="A81" s="65" t="s">
        <v>154</v>
      </c>
      <c r="B81" s="65"/>
      <c r="C81" s="65"/>
      <c r="D81" s="65"/>
      <c r="E81" s="65"/>
      <c r="F81" s="65"/>
      <c r="G81" s="65"/>
      <c r="H81" s="65"/>
      <c r="I81" s="65"/>
      <c r="J81" s="65"/>
      <c r="K81" s="65"/>
    </row>
    <row r="82" ht="22.5" customHeight="1" spans="1:11" s="53" customFormat="1" x14ac:dyDescent="0.25">
      <c r="A82" s="65" t="s">
        <v>155</v>
      </c>
      <c r="B82" s="65"/>
      <c r="C82" s="65"/>
      <c r="D82" s="65"/>
      <c r="E82" s="65"/>
      <c r="F82" s="65"/>
      <c r="G82" s="65"/>
      <c r="H82" s="65"/>
      <c r="I82" s="65"/>
      <c r="J82" s="65"/>
      <c r="K82" s="65"/>
    </row>
    <row r="83" ht="22.5" customHeight="1" spans="1:11" s="53" customFormat="1" x14ac:dyDescent="0.25">
      <c r="A83" s="58" t="s">
        <v>156</v>
      </c>
      <c r="B83" s="60"/>
      <c r="C83" s="60"/>
      <c r="D83" s="60"/>
      <c r="E83" s="60"/>
      <c r="F83" s="60"/>
      <c r="G83" s="60"/>
      <c r="H83" s="60"/>
      <c r="I83" s="60"/>
      <c r="J83" s="60"/>
      <c r="K83" s="60"/>
    </row>
    <row r="84" ht="22.5" customHeight="1" spans="1:11" s="53" customFormat="1" x14ac:dyDescent="0.25">
      <c r="A84" s="65" t="s">
        <v>157</v>
      </c>
      <c r="B84" s="65"/>
      <c r="C84" s="65"/>
      <c r="D84" s="65"/>
      <c r="E84" s="65"/>
      <c r="F84" s="65"/>
      <c r="G84" s="65"/>
      <c r="H84" s="65"/>
      <c r="I84" s="65"/>
      <c r="J84" s="65"/>
      <c r="K84" s="65"/>
    </row>
    <row r="85" ht="22.5" customHeight="1" spans="1:11" s="53" customFormat="1" x14ac:dyDescent="0.25">
      <c r="A85" s="60" t="s">
        <v>158</v>
      </c>
      <c r="B85" s="60"/>
      <c r="C85" s="60"/>
      <c r="D85" s="60"/>
      <c r="E85" s="60"/>
      <c r="F85" s="60"/>
      <c r="G85" s="60"/>
      <c r="H85" s="60"/>
      <c r="I85" s="60"/>
      <c r="J85" s="60"/>
      <c r="K85" s="60"/>
    </row>
    <row r="86" ht="22.5" customHeight="1" spans="1:11" s="53" customFormat="1" x14ac:dyDescent="0.25">
      <c r="A86" s="60" t="s">
        <v>159</v>
      </c>
      <c r="B86" s="60"/>
      <c r="C86" s="60"/>
      <c r="D86" s="60"/>
      <c r="E86" s="60"/>
      <c r="F86" s="60"/>
      <c r="G86" s="60"/>
      <c r="H86" s="81"/>
      <c r="I86" s="60"/>
      <c r="J86" s="60"/>
      <c r="K86" s="60"/>
    </row>
    <row r="87" ht="41.25" customHeight="1" spans="1:11" s="53" customFormat="1" x14ac:dyDescent="0.25">
      <c r="A87" s="65" t="s">
        <v>160</v>
      </c>
      <c r="B87" s="65"/>
      <c r="C87" s="65"/>
      <c r="D87" s="65"/>
      <c r="E87" s="65"/>
      <c r="F87" s="65"/>
      <c r="G87" s="65"/>
      <c r="H87" s="65"/>
      <c r="I87" s="65"/>
      <c r="J87" s="65"/>
      <c r="K87" s="65"/>
    </row>
    <row r="88" ht="23.25" customHeight="1" spans="1:11" s="53" customFormat="1" x14ac:dyDescent="0.25">
      <c r="A88" s="60" t="s">
        <v>161</v>
      </c>
      <c r="B88" s="60"/>
      <c r="C88" s="60"/>
      <c r="D88" s="60"/>
      <c r="E88" s="60"/>
      <c r="F88" s="60"/>
      <c r="G88" s="60"/>
      <c r="H88" s="81"/>
      <c r="I88" s="60"/>
      <c r="J88" s="60"/>
      <c r="K88" s="60"/>
    </row>
    <row r="89" ht="23.25" customHeight="1" spans="1:11" s="53" customFormat="1" x14ac:dyDescent="0.25">
      <c r="A89" s="60" t="s">
        <v>162</v>
      </c>
      <c r="B89" s="60"/>
      <c r="C89" s="60"/>
      <c r="D89" s="60"/>
      <c r="E89" s="60"/>
      <c r="F89" s="60"/>
      <c r="G89" s="60"/>
      <c r="H89" s="81"/>
      <c r="I89" s="60"/>
      <c r="J89" s="60"/>
      <c r="K89" s="60"/>
    </row>
    <row r="90" ht="34.5" customHeight="1" spans="1:11" s="53" customFormat="1" x14ac:dyDescent="0.25">
      <c r="A90" s="65" t="s">
        <v>163</v>
      </c>
      <c r="B90" s="65"/>
      <c r="C90" s="65"/>
      <c r="D90" s="65"/>
      <c r="E90" s="65"/>
      <c r="F90" s="65"/>
      <c r="G90" s="65"/>
      <c r="H90" s="65"/>
      <c r="I90" s="65"/>
      <c r="J90" s="65"/>
      <c r="K90" s="65"/>
    </row>
    <row r="91" ht="21.75" customHeight="1" spans="1:11" s="53" customFormat="1" x14ac:dyDescent="0.25">
      <c r="A91" s="60" t="s">
        <v>164</v>
      </c>
      <c r="B91" s="60"/>
      <c r="C91" s="60"/>
      <c r="D91" s="60"/>
      <c r="E91" s="60"/>
      <c r="F91" s="60"/>
      <c r="G91" s="60"/>
      <c r="H91" s="81"/>
      <c r="I91" s="60"/>
      <c r="J91" s="60"/>
      <c r="K91" s="60"/>
    </row>
    <row r="92" ht="33.75" customHeight="1" spans="1:11" s="53" customFormat="1" x14ac:dyDescent="0.25">
      <c r="A92" s="65" t="s">
        <v>165</v>
      </c>
      <c r="B92" s="65"/>
      <c r="C92" s="65"/>
      <c r="D92" s="65"/>
      <c r="E92" s="65"/>
      <c r="F92" s="65"/>
      <c r="G92" s="65"/>
      <c r="H92" s="65"/>
      <c r="I92" s="65"/>
      <c r="J92" s="65"/>
      <c r="K92" s="65"/>
    </row>
    <row r="93" ht="35.25" customHeight="1" spans="1:11" s="53" customFormat="1" x14ac:dyDescent="0.25">
      <c r="A93" s="65" t="s">
        <v>166</v>
      </c>
      <c r="B93" s="65"/>
      <c r="C93" s="65"/>
      <c r="D93" s="65"/>
      <c r="E93" s="65"/>
      <c r="F93" s="65"/>
      <c r="G93" s="65"/>
      <c r="H93" s="65"/>
      <c r="I93" s="65"/>
      <c r="J93" s="65"/>
      <c r="K93" s="65"/>
    </row>
    <row r="94" ht="52.5" customHeight="1" spans="1:11" s="53" customFormat="1" x14ac:dyDescent="0.25">
      <c r="A94" s="65" t="s">
        <v>167</v>
      </c>
      <c r="B94" s="65"/>
      <c r="C94" s="65"/>
      <c r="D94" s="65"/>
      <c r="E94" s="65"/>
      <c r="F94" s="65"/>
      <c r="G94" s="65"/>
      <c r="H94" s="65"/>
      <c r="I94" s="65"/>
      <c r="J94" s="65"/>
      <c r="K94" s="65"/>
    </row>
    <row r="95" ht="37.5" customHeight="1" spans="1:11" s="53" customFormat="1" x14ac:dyDescent="0.25">
      <c r="A95" s="65" t="s">
        <v>168</v>
      </c>
      <c r="B95" s="65"/>
      <c r="C95" s="65"/>
      <c r="D95" s="65"/>
      <c r="E95" s="65"/>
      <c r="F95" s="65"/>
      <c r="G95" s="65"/>
      <c r="H95" s="65"/>
      <c r="I95" s="65"/>
      <c r="J95" s="65"/>
      <c r="K95" s="65"/>
    </row>
    <row r="96" ht="57" customHeight="1" spans="1:11" s="53" customFormat="1" x14ac:dyDescent="0.25">
      <c r="A96" s="65" t="s">
        <v>169</v>
      </c>
      <c r="B96" s="57"/>
      <c r="C96" s="57"/>
      <c r="D96" s="57"/>
      <c r="E96" s="57"/>
      <c r="F96" s="57"/>
      <c r="G96" s="57"/>
      <c r="H96" s="57"/>
      <c r="I96" s="57"/>
      <c r="J96" s="57"/>
      <c r="K96" s="57"/>
    </row>
    <row r="97" ht="35.25" customHeight="1" spans="1:11" s="53" customFormat="1" x14ac:dyDescent="0.25">
      <c r="A97" s="65" t="s">
        <v>170</v>
      </c>
      <c r="B97" s="57"/>
      <c r="C97" s="57"/>
      <c r="D97" s="57"/>
      <c r="E97" s="57"/>
      <c r="F97" s="57"/>
      <c r="G97" s="57"/>
      <c r="H97" s="57"/>
      <c r="I97" s="57"/>
      <c r="J97" s="57"/>
      <c r="K97" s="57"/>
    </row>
    <row r="98" ht="32.25" customHeight="1" spans="1:11" s="53" customFormat="1" x14ac:dyDescent="0.25">
      <c r="A98" s="65" t="s">
        <v>171</v>
      </c>
      <c r="B98" s="65"/>
      <c r="C98" s="65"/>
      <c r="D98" s="65"/>
      <c r="E98" s="65"/>
      <c r="F98" s="65"/>
      <c r="G98" s="65"/>
      <c r="H98" s="65"/>
      <c r="I98" s="65"/>
      <c r="J98" s="65"/>
      <c r="K98" s="65"/>
    </row>
    <row r="99" ht="24" customHeight="1" spans="1:11" s="53" customFormat="1" x14ac:dyDescent="0.25">
      <c r="A99" s="65" t="s">
        <v>172</v>
      </c>
      <c r="B99" s="65"/>
      <c r="C99" s="65"/>
      <c r="D99" s="65"/>
      <c r="E99" s="65"/>
      <c r="F99" s="65"/>
      <c r="G99" s="65"/>
      <c r="H99" s="65"/>
      <c r="I99" s="65"/>
      <c r="J99" s="65"/>
      <c r="K99" s="65"/>
    </row>
    <row r="100" ht="21" customHeight="1" spans="1:11" s="53" customFormat="1" x14ac:dyDescent="0.25">
      <c r="A100" s="71" t="s">
        <v>173</v>
      </c>
      <c r="B100" s="71"/>
      <c r="C100" s="71"/>
      <c r="D100" s="71"/>
      <c r="E100" s="71"/>
      <c r="F100" s="71"/>
      <c r="G100" s="60"/>
      <c r="H100" s="60"/>
      <c r="I100" s="60"/>
      <c r="J100" s="60"/>
      <c r="K100" s="60"/>
    </row>
    <row r="101" ht="22.5" customHeight="1" spans="1:11" s="53" customFormat="1" x14ac:dyDescent="0.25">
      <c r="A101" s="60" t="s">
        <v>174</v>
      </c>
      <c r="B101" s="60"/>
      <c r="C101" s="60"/>
      <c r="D101" s="60"/>
      <c r="E101" s="60"/>
      <c r="F101" s="60"/>
      <c r="G101" s="60"/>
      <c r="H101" s="81"/>
      <c r="I101" s="60"/>
      <c r="J101" s="60"/>
      <c r="K101" s="60"/>
    </row>
    <row r="102" ht="22.5" customHeight="1" spans="1:11" s="53" customFormat="1" x14ac:dyDescent="0.25">
      <c r="A102" s="65" t="s">
        <v>175</v>
      </c>
      <c r="B102" s="65"/>
      <c r="C102" s="65"/>
      <c r="D102" s="65"/>
      <c r="E102" s="65"/>
      <c r="F102" s="65"/>
      <c r="G102" s="65"/>
      <c r="H102" s="65"/>
      <c r="I102" s="65"/>
      <c r="J102" s="65"/>
      <c r="K102" s="65"/>
    </row>
    <row r="103" ht="48.75" customHeight="1" spans="1:11" s="53" customFormat="1" x14ac:dyDescent="0.25">
      <c r="A103" s="65" t="s">
        <v>176</v>
      </c>
      <c r="B103" s="65"/>
      <c r="C103" s="65"/>
      <c r="D103" s="65"/>
      <c r="E103" s="65"/>
      <c r="F103" s="65"/>
      <c r="G103" s="65"/>
      <c r="H103" s="65"/>
      <c r="I103" s="65"/>
      <c r="J103" s="65"/>
      <c r="K103" s="65"/>
    </row>
    <row r="104" ht="35.25" customHeight="1" spans="1:11" s="53" customFormat="1" x14ac:dyDescent="0.25">
      <c r="A104" s="65" t="s">
        <v>177</v>
      </c>
      <c r="B104" s="65"/>
      <c r="C104" s="65"/>
      <c r="D104" s="65"/>
      <c r="E104" s="65"/>
      <c r="F104" s="65"/>
      <c r="G104" s="65"/>
      <c r="H104" s="65"/>
      <c r="I104" s="65"/>
      <c r="J104" s="65"/>
      <c r="K104" s="65"/>
    </row>
    <row r="105" ht="33.75" customHeight="1" spans="1:11" s="53" customFormat="1" x14ac:dyDescent="0.25">
      <c r="A105" s="65" t="s">
        <v>178</v>
      </c>
      <c r="B105" s="65"/>
      <c r="C105" s="65"/>
      <c r="D105" s="65"/>
      <c r="E105" s="65"/>
      <c r="F105" s="65"/>
      <c r="G105" s="65"/>
      <c r="H105" s="65"/>
      <c r="I105" s="65"/>
      <c r="J105" s="65"/>
      <c r="K105" s="65"/>
    </row>
    <row r="106" ht="39" customHeight="1" spans="1:11" s="53" customFormat="1" x14ac:dyDescent="0.25">
      <c r="A106" s="65" t="s">
        <v>179</v>
      </c>
      <c r="B106" s="65"/>
      <c r="C106" s="65"/>
      <c r="D106" s="65"/>
      <c r="E106" s="65"/>
      <c r="F106" s="65"/>
      <c r="G106" s="65"/>
      <c r="H106" s="65"/>
      <c r="I106" s="65"/>
      <c r="J106" s="65"/>
      <c r="K106" s="65"/>
    </row>
    <row r="107" ht="36" customHeight="1" spans="1:11" s="53" customFormat="1" x14ac:dyDescent="0.25">
      <c r="A107" s="65" t="s">
        <v>180</v>
      </c>
      <c r="B107" s="65"/>
      <c r="C107" s="65"/>
      <c r="D107" s="65"/>
      <c r="E107" s="65"/>
      <c r="F107" s="65"/>
      <c r="G107" s="65"/>
      <c r="H107" s="65"/>
      <c r="I107" s="65"/>
      <c r="J107" s="65"/>
      <c r="K107" s="65"/>
    </row>
    <row r="108" ht="35.25" customHeight="1" spans="1:11" s="53" customFormat="1" x14ac:dyDescent="0.25">
      <c r="A108" s="65" t="s">
        <v>181</v>
      </c>
      <c r="B108" s="65"/>
      <c r="C108" s="65"/>
      <c r="D108" s="65"/>
      <c r="E108" s="65"/>
      <c r="F108" s="65"/>
      <c r="G108" s="65"/>
      <c r="H108" s="65"/>
      <c r="I108" s="65"/>
      <c r="J108" s="65"/>
      <c r="K108" s="65"/>
    </row>
    <row r="109" ht="53.25" customHeight="1" spans="1:11" s="53" customFormat="1" x14ac:dyDescent="0.25">
      <c r="A109" s="65" t="s">
        <v>182</v>
      </c>
      <c r="B109" s="65"/>
      <c r="C109" s="65"/>
      <c r="D109" s="65"/>
      <c r="E109" s="65"/>
      <c r="F109" s="65"/>
      <c r="G109" s="65"/>
      <c r="H109" s="65"/>
      <c r="I109" s="65"/>
      <c r="J109" s="65"/>
      <c r="K109" s="65"/>
    </row>
    <row r="110" ht="67.5" customHeight="1" spans="1:11" s="53" customFormat="1" x14ac:dyDescent="0.25">
      <c r="A110" s="65" t="s">
        <v>183</v>
      </c>
      <c r="B110" s="65"/>
      <c r="C110" s="65"/>
      <c r="D110" s="65"/>
      <c r="E110" s="65"/>
      <c r="F110" s="65"/>
      <c r="G110" s="65"/>
      <c r="H110" s="65"/>
      <c r="I110" s="65"/>
      <c r="J110" s="65"/>
      <c r="K110" s="65"/>
    </row>
    <row r="111" ht="33" customHeight="1" spans="1:11" s="53" customFormat="1" x14ac:dyDescent="0.25">
      <c r="A111" s="65" t="s">
        <v>184</v>
      </c>
      <c r="B111" s="57"/>
      <c r="C111" s="57"/>
      <c r="D111" s="57"/>
      <c r="E111" s="57"/>
      <c r="F111" s="57"/>
      <c r="G111" s="57"/>
      <c r="H111" s="57"/>
      <c r="I111" s="57"/>
      <c r="J111" s="57"/>
      <c r="K111" s="57"/>
    </row>
    <row r="112" ht="23.25" customHeight="1" spans="1:11" s="53" customFormat="1" x14ac:dyDescent="0.25">
      <c r="A112" s="60" t="s">
        <v>185</v>
      </c>
      <c r="B112" s="60"/>
      <c r="C112" s="60"/>
      <c r="D112" s="60"/>
      <c r="E112" s="60"/>
      <c r="F112" s="60"/>
      <c r="G112" s="60"/>
      <c r="H112" s="60"/>
      <c r="I112" s="60"/>
      <c r="J112" s="60"/>
      <c r="K112" s="60"/>
    </row>
    <row r="113" ht="23.25" customHeight="1" spans="1:11" s="53" customFormat="1" x14ac:dyDescent="0.25">
      <c r="A113" s="57" t="s">
        <v>186</v>
      </c>
      <c r="B113" s="57"/>
      <c r="C113" s="57"/>
      <c r="D113" s="57"/>
      <c r="E113" s="57"/>
      <c r="F113" s="57"/>
      <c r="G113" s="57"/>
      <c r="H113" s="57"/>
      <c r="I113" s="57"/>
      <c r="J113" s="57"/>
      <c r="K113" s="57"/>
    </row>
    <row r="114" ht="29.25" customHeight="1" spans="1:11" s="53" customFormat="1" x14ac:dyDescent="0.25">
      <c r="A114" s="71" t="s">
        <v>187</v>
      </c>
      <c r="B114" s="71"/>
      <c r="C114" s="71"/>
      <c r="D114" s="71"/>
      <c r="E114" s="71"/>
      <c r="F114" s="60"/>
      <c r="G114" s="60"/>
      <c r="H114" s="60"/>
      <c r="I114" s="60"/>
      <c r="J114" s="60"/>
      <c r="K114" s="60"/>
    </row>
    <row r="115" ht="34.5" customHeight="1" spans="1:11" s="53" customFormat="1" x14ac:dyDescent="0.25">
      <c r="A115" s="65" t="s">
        <v>188</v>
      </c>
      <c r="B115" s="65"/>
      <c r="C115" s="65"/>
      <c r="D115" s="65"/>
      <c r="E115" s="65"/>
      <c r="F115" s="65"/>
      <c r="G115" s="65"/>
      <c r="H115" s="65"/>
      <c r="I115" s="65"/>
      <c r="J115" s="65"/>
      <c r="K115" s="65"/>
    </row>
    <row r="116" ht="91.5" customHeight="1" spans="1:11" s="53" customFormat="1" x14ac:dyDescent="0.25">
      <c r="A116" s="65" t="s">
        <v>189</v>
      </c>
      <c r="B116" s="65"/>
      <c r="C116" s="65"/>
      <c r="D116" s="65"/>
      <c r="E116" s="65"/>
      <c r="F116" s="65"/>
      <c r="G116" s="65"/>
      <c r="H116" s="65"/>
      <c r="I116" s="65"/>
      <c r="J116" s="65"/>
      <c r="K116" s="65"/>
    </row>
    <row r="117" ht="121.5" customHeight="1" spans="1:16384" s="92" customFormat="1" x14ac:dyDescent="0.25">
      <c r="A117" s="65" t="s">
        <v>190</v>
      </c>
      <c r="B117" s="65"/>
      <c r="C117" s="65"/>
      <c r="D117" s="65"/>
      <c r="E117" s="65"/>
      <c r="F117" s="65"/>
      <c r="G117" s="65"/>
      <c r="H117" s="65"/>
      <c r="I117" s="65"/>
      <c r="J117" s="65"/>
      <c r="K117" s="65"/>
      <c r="L117" s="92"/>
    </row>
    <row r="118" ht="100.5" customHeight="1" spans="1:11" s="53" customFormat="1" x14ac:dyDescent="0.25">
      <c r="A118" s="65" t="s">
        <v>191</v>
      </c>
      <c r="B118" s="65"/>
      <c r="C118" s="65"/>
      <c r="D118" s="65"/>
      <c r="E118" s="65"/>
      <c r="F118" s="65"/>
      <c r="G118" s="65"/>
      <c r="H118" s="65"/>
      <c r="I118" s="65"/>
      <c r="J118" s="65"/>
      <c r="K118" s="65"/>
    </row>
    <row r="119" ht="27.75" customHeight="1" spans="1:11" s="53" customFormat="1" x14ac:dyDescent="0.25">
      <c r="A119" s="71" t="s">
        <v>192</v>
      </c>
      <c r="B119" s="71"/>
      <c r="C119" s="71"/>
      <c r="D119" s="71"/>
      <c r="E119" s="71"/>
      <c r="F119" s="71"/>
      <c r="G119" s="71"/>
      <c r="H119" s="71"/>
      <c r="I119" s="71"/>
      <c r="J119" s="71"/>
      <c r="K119" s="71"/>
    </row>
    <row r="120" ht="22.5" customHeight="1" spans="1:11" s="53" customFormat="1" x14ac:dyDescent="0.25">
      <c r="A120" s="57" t="s">
        <v>193</v>
      </c>
      <c r="B120" s="57"/>
      <c r="C120" s="57"/>
      <c r="D120" s="57"/>
      <c r="E120" s="57"/>
      <c r="F120" s="57"/>
      <c r="G120" s="57"/>
      <c r="H120" s="57"/>
      <c r="I120" s="57"/>
      <c r="J120" s="57"/>
      <c r="K120" s="57"/>
    </row>
    <row r="121" ht="21.75" customHeight="1" spans="1:11" s="53" customFormat="1" x14ac:dyDescent="0.25">
      <c r="A121" s="71" t="s">
        <v>194</v>
      </c>
      <c r="B121" s="71"/>
      <c r="C121" s="71"/>
      <c r="D121" s="71"/>
      <c r="E121" s="71"/>
      <c r="F121" s="71"/>
      <c r="G121" s="71"/>
      <c r="H121" s="71"/>
      <c r="I121" s="71"/>
      <c r="J121" s="71"/>
      <c r="K121" s="71"/>
    </row>
    <row r="122" ht="32.25" customHeight="1" spans="1:11" s="53" customFormat="1" x14ac:dyDescent="0.25">
      <c r="A122" s="65" t="s">
        <v>195</v>
      </c>
      <c r="B122" s="65"/>
      <c r="C122" s="65"/>
      <c r="D122" s="65"/>
      <c r="E122" s="65"/>
      <c r="F122" s="65"/>
      <c r="G122" s="65"/>
      <c r="H122" s="65"/>
      <c r="I122" s="65"/>
      <c r="J122" s="65"/>
      <c r="K122" s="65"/>
    </row>
    <row r="123" ht="35.25" customHeight="1" spans="1:11" s="53" customFormat="1" x14ac:dyDescent="0.25">
      <c r="A123" s="65" t="s">
        <v>196</v>
      </c>
      <c r="B123" s="65"/>
      <c r="C123" s="65"/>
      <c r="D123" s="65"/>
      <c r="E123" s="65"/>
      <c r="F123" s="65"/>
      <c r="G123" s="65"/>
      <c r="H123" s="65"/>
      <c r="I123" s="65"/>
      <c r="J123" s="65"/>
      <c r="K123" s="65"/>
    </row>
    <row r="124" ht="35.25" customHeight="1" spans="1:11" s="53" customFormat="1" x14ac:dyDescent="0.25">
      <c r="A124" s="65" t="s">
        <v>197</v>
      </c>
      <c r="B124" s="65"/>
      <c r="C124" s="65"/>
      <c r="D124" s="65"/>
      <c r="E124" s="65"/>
      <c r="F124" s="65"/>
      <c r="G124" s="65"/>
      <c r="H124" s="65"/>
      <c r="I124" s="65"/>
      <c r="J124" s="65"/>
      <c r="K124" s="65"/>
    </row>
    <row r="125" ht="52.5" customHeight="1" spans="1:11" s="53" customFormat="1" x14ac:dyDescent="0.25">
      <c r="A125" s="65" t="s">
        <v>198</v>
      </c>
      <c r="B125" s="57"/>
      <c r="C125" s="57"/>
      <c r="D125" s="57"/>
      <c r="E125" s="57"/>
      <c r="F125" s="57"/>
      <c r="G125" s="57"/>
      <c r="H125" s="57"/>
      <c r="I125" s="57"/>
      <c r="J125" s="57"/>
      <c r="K125" s="57"/>
    </row>
    <row r="126" ht="20.25" customHeight="1" spans="1:11" s="53" customFormat="1" x14ac:dyDescent="0.25">
      <c r="A126" s="93" t="s">
        <v>199</v>
      </c>
      <c r="B126" s="93"/>
      <c r="C126" s="93"/>
      <c r="D126" s="93"/>
      <c r="E126" s="93"/>
      <c r="F126" s="93"/>
      <c r="G126" s="93"/>
      <c r="H126" s="57"/>
      <c r="I126" s="57"/>
      <c r="J126" s="57"/>
      <c r="K126" s="57"/>
    </row>
    <row r="127" ht="21.75" customHeight="1" spans="1:11" s="53" customFormat="1" x14ac:dyDescent="0.25">
      <c r="A127" s="57" t="s">
        <v>200</v>
      </c>
      <c r="B127" s="93"/>
      <c r="C127" s="93"/>
      <c r="D127" s="93"/>
      <c r="E127" s="93"/>
      <c r="F127" s="93"/>
      <c r="G127" s="93"/>
      <c r="H127" s="57"/>
      <c r="I127" s="57"/>
      <c r="J127" s="57"/>
      <c r="K127" s="57"/>
    </row>
    <row r="128" ht="21.75" customHeight="1" spans="1:11" s="53" customFormat="1" x14ac:dyDescent="0.25">
      <c r="A128" s="57" t="s">
        <v>201</v>
      </c>
      <c r="B128" s="93"/>
      <c r="C128" s="93"/>
      <c r="D128" s="93"/>
      <c r="E128" s="93"/>
      <c r="F128" s="93"/>
      <c r="G128" s="93"/>
      <c r="H128" s="57"/>
      <c r="I128" s="57"/>
      <c r="J128" s="57"/>
      <c r="K128" s="57"/>
    </row>
    <row r="129" ht="35.25" customHeight="1" spans="1:11" s="53" customFormat="1" x14ac:dyDescent="0.25">
      <c r="A129" s="65" t="s">
        <v>202</v>
      </c>
      <c r="B129" s="65"/>
      <c r="C129" s="65"/>
      <c r="D129" s="65"/>
      <c r="E129" s="65"/>
      <c r="F129" s="65"/>
      <c r="G129" s="65"/>
      <c r="H129" s="65"/>
      <c r="I129" s="65"/>
      <c r="J129" s="65"/>
      <c r="K129" s="65"/>
    </row>
    <row r="130" ht="48" customHeight="1" spans="1:11" s="53" customFormat="1" x14ac:dyDescent="0.25">
      <c r="A130" s="65" t="s">
        <v>203</v>
      </c>
      <c r="B130" s="57"/>
      <c r="C130" s="57"/>
      <c r="D130" s="57"/>
      <c r="E130" s="57"/>
      <c r="F130" s="57"/>
      <c r="G130" s="57"/>
      <c r="H130" s="57"/>
      <c r="I130" s="57"/>
      <c r="J130" s="57"/>
      <c r="K130" s="57"/>
    </row>
    <row r="131" ht="23.25" customHeight="1" spans="1:11" s="53" customFormat="1" x14ac:dyDescent="0.25">
      <c r="A131" s="71" t="s">
        <v>204</v>
      </c>
      <c r="B131" s="71"/>
      <c r="C131" s="71"/>
      <c r="D131" s="71"/>
      <c r="E131" s="71"/>
      <c r="F131" s="60"/>
      <c r="G131" s="60"/>
      <c r="H131" s="60"/>
      <c r="I131" s="60"/>
      <c r="J131" s="60"/>
      <c r="K131" s="60"/>
    </row>
    <row r="132" ht="23.25" customHeight="1" spans="1:11" s="53" customFormat="1" x14ac:dyDescent="0.25">
      <c r="A132" s="60" t="s">
        <v>205</v>
      </c>
      <c r="B132" s="60"/>
      <c r="C132" s="60"/>
      <c r="D132" s="60"/>
      <c r="E132" s="60"/>
      <c r="F132" s="60"/>
      <c r="G132" s="60"/>
      <c r="H132" s="81"/>
      <c r="I132" s="60"/>
      <c r="J132" s="60"/>
      <c r="K132" s="60"/>
    </row>
    <row r="133" ht="23.25" customHeight="1" spans="1:11" s="53" customFormat="1" x14ac:dyDescent="0.25">
      <c r="A133" s="60" t="s">
        <v>206</v>
      </c>
      <c r="B133" s="60"/>
      <c r="C133" s="60"/>
      <c r="D133" s="60"/>
      <c r="E133" s="60"/>
      <c r="F133" s="60"/>
      <c r="G133" s="60"/>
      <c r="H133" s="81"/>
      <c r="I133" s="60"/>
      <c r="J133" s="60"/>
      <c r="K133" s="60"/>
    </row>
    <row r="134" ht="34.5" customHeight="1" spans="1:11" s="53" customFormat="1" x14ac:dyDescent="0.25">
      <c r="A134" s="65" t="s">
        <v>207</v>
      </c>
      <c r="B134" s="65"/>
      <c r="C134" s="65"/>
      <c r="D134" s="65"/>
      <c r="E134" s="65"/>
      <c r="F134" s="65"/>
      <c r="G134" s="65"/>
      <c r="H134" s="65"/>
      <c r="I134" s="65"/>
      <c r="J134" s="65"/>
      <c r="K134" s="65"/>
    </row>
    <row r="135" ht="22.5" customHeight="1" spans="1:11" s="53" customFormat="1" x14ac:dyDescent="0.25">
      <c r="A135" s="60" t="s">
        <v>208</v>
      </c>
      <c r="B135" s="60"/>
      <c r="C135" s="60"/>
      <c r="D135" s="60"/>
      <c r="E135" s="60"/>
      <c r="F135" s="60"/>
      <c r="G135" s="60"/>
      <c r="H135" s="81"/>
      <c r="I135" s="60"/>
      <c r="J135" s="60"/>
      <c r="K135" s="60"/>
    </row>
    <row r="136" ht="22.5" customHeight="1" spans="1:11" s="53" customFormat="1" x14ac:dyDescent="0.25">
      <c r="A136" s="65" t="s">
        <v>209</v>
      </c>
      <c r="B136" s="65"/>
      <c r="C136" s="65"/>
      <c r="D136" s="65"/>
      <c r="E136" s="65"/>
      <c r="F136" s="65"/>
      <c r="G136" s="65"/>
      <c r="H136" s="65"/>
      <c r="I136" s="65"/>
      <c r="J136" s="65"/>
      <c r="K136" s="65"/>
    </row>
    <row r="137" ht="22.5" customHeight="1" spans="1:11" s="53" customFormat="1" x14ac:dyDescent="0.25">
      <c r="A137" s="65" t="s">
        <v>210</v>
      </c>
      <c r="B137" s="65"/>
      <c r="C137" s="65"/>
      <c r="D137" s="65"/>
      <c r="E137" s="65"/>
      <c r="F137" s="65"/>
      <c r="G137" s="65"/>
      <c r="H137" s="65"/>
      <c r="I137" s="65"/>
      <c r="J137" s="65"/>
      <c r="K137" s="65"/>
    </row>
    <row r="138" ht="36.75" customHeight="1" spans="1:11" s="53" customFormat="1" x14ac:dyDescent="0.25">
      <c r="A138" s="65" t="s">
        <v>211</v>
      </c>
      <c r="B138" s="65"/>
      <c r="C138" s="65"/>
      <c r="D138" s="65"/>
      <c r="E138" s="65"/>
      <c r="F138" s="65"/>
      <c r="G138" s="65"/>
      <c r="H138" s="65"/>
      <c r="I138" s="65"/>
      <c r="J138" s="65"/>
      <c r="K138" s="65"/>
    </row>
    <row r="139" ht="67.5" customHeight="1" spans="1:11" s="91" customFormat="1" x14ac:dyDescent="0.25">
      <c r="A139" s="65" t="s">
        <v>212</v>
      </c>
      <c r="B139" s="65"/>
      <c r="C139" s="65"/>
      <c r="D139" s="65"/>
      <c r="E139" s="65"/>
      <c r="F139" s="65"/>
      <c r="G139" s="65"/>
      <c r="H139" s="65"/>
      <c r="I139" s="65"/>
      <c r="J139" s="65"/>
      <c r="K139" s="65"/>
    </row>
    <row r="140" ht="63" customHeight="1" spans="1:11" s="53" customFormat="1" x14ac:dyDescent="0.25">
      <c r="A140" s="65" t="s">
        <v>213</v>
      </c>
      <c r="B140" s="65"/>
      <c r="C140" s="65"/>
      <c r="D140" s="65"/>
      <c r="E140" s="65"/>
      <c r="F140" s="65"/>
      <c r="G140" s="65"/>
      <c r="H140" s="65"/>
      <c r="I140" s="65"/>
      <c r="J140" s="65"/>
      <c r="K140" s="65"/>
    </row>
    <row r="141" ht="52.5" customHeight="1" spans="1:11" s="53" customFormat="1" x14ac:dyDescent="0.25">
      <c r="A141" s="58" t="s">
        <v>214</v>
      </c>
      <c r="B141" s="58"/>
      <c r="C141" s="58"/>
      <c r="D141" s="58"/>
      <c r="E141" s="58"/>
      <c r="F141" s="58"/>
      <c r="G141" s="58"/>
      <c r="H141" s="58"/>
      <c r="I141" s="58"/>
      <c r="J141" s="58"/>
      <c r="K141" s="58"/>
    </row>
    <row r="142" ht="25.5" customHeight="1" spans="1:11" s="53" customFormat="1" x14ac:dyDescent="0.25">
      <c r="A142" s="94" t="s">
        <v>215</v>
      </c>
      <c r="B142" s="94"/>
      <c r="C142" s="94"/>
      <c r="D142" s="94"/>
      <c r="E142" s="94"/>
      <c r="F142" s="94"/>
      <c r="G142" s="94"/>
      <c r="H142" s="60"/>
      <c r="I142" s="60"/>
      <c r="J142" s="60"/>
      <c r="K142" s="60"/>
    </row>
    <row r="143" ht="23.45" customHeight="1" spans="1:11" s="53" customFormat="1" x14ac:dyDescent="0.25">
      <c r="A143" s="57" t="s">
        <v>216</v>
      </c>
      <c r="B143" s="57"/>
      <c r="C143" s="57"/>
      <c r="D143" s="57"/>
      <c r="E143" s="57"/>
      <c r="F143" s="57"/>
      <c r="G143" s="57"/>
      <c r="H143" s="57"/>
      <c r="I143" s="57"/>
      <c r="J143" s="57"/>
      <c r="K143" s="57"/>
    </row>
    <row r="144" ht="25.5" customHeight="1" spans="1:11" s="53" customFormat="1" x14ac:dyDescent="0.25">
      <c r="A144" s="94" t="s">
        <v>217</v>
      </c>
      <c r="B144" s="94"/>
      <c r="C144" s="94"/>
      <c r="D144" s="94"/>
      <c r="E144" s="94"/>
      <c r="F144" s="94"/>
      <c r="G144" s="94"/>
      <c r="H144" s="60"/>
      <c r="I144" s="60"/>
      <c r="J144" s="60"/>
      <c r="K144" s="60"/>
    </row>
    <row r="145" ht="23.25" customHeight="1" spans="1:11" s="53" customFormat="1" x14ac:dyDescent="0.25">
      <c r="A145" s="60" t="s">
        <v>218</v>
      </c>
      <c r="B145" s="60"/>
      <c r="C145" s="60"/>
      <c r="D145" s="60"/>
      <c r="E145" s="60"/>
      <c r="F145" s="60"/>
      <c r="G145" s="60"/>
      <c r="H145" s="81"/>
      <c r="I145" s="60"/>
      <c r="J145" s="60"/>
      <c r="K145" s="60"/>
    </row>
    <row r="146" ht="36.75" customHeight="1" spans="1:11" s="53" customFormat="1" x14ac:dyDescent="0.25">
      <c r="A146" s="65" t="s">
        <v>219</v>
      </c>
      <c r="B146" s="65"/>
      <c r="C146" s="65"/>
      <c r="D146" s="65"/>
      <c r="E146" s="65"/>
      <c r="F146" s="65"/>
      <c r="G146" s="65"/>
      <c r="H146" s="65"/>
      <c r="I146" s="65"/>
      <c r="J146" s="65"/>
      <c r="K146" s="65"/>
    </row>
    <row r="147" ht="38.25" customHeight="1" spans="1:11" s="53" customFormat="1" x14ac:dyDescent="0.25">
      <c r="A147" s="65" t="s">
        <v>220</v>
      </c>
      <c r="B147" s="65"/>
      <c r="C147" s="65"/>
      <c r="D147" s="65"/>
      <c r="E147" s="65"/>
      <c r="F147" s="65"/>
      <c r="G147" s="65"/>
      <c r="H147" s="65"/>
      <c r="I147" s="65"/>
      <c r="J147" s="65"/>
      <c r="K147" s="65"/>
    </row>
    <row r="148" ht="77.25" customHeight="1" spans="1:11" s="53" customFormat="1" x14ac:dyDescent="0.25">
      <c r="A148" s="65" t="s">
        <v>221</v>
      </c>
      <c r="B148" s="65"/>
      <c r="C148" s="65"/>
      <c r="D148" s="65"/>
      <c r="E148" s="65"/>
      <c r="F148" s="65"/>
      <c r="G148" s="65"/>
      <c r="H148" s="65"/>
      <c r="I148" s="65"/>
      <c r="J148" s="65"/>
      <c r="K148" s="65"/>
    </row>
    <row r="149" ht="10.5" customHeight="1" spans="1:11" s="53" customFormat="1" x14ac:dyDescent="0.25">
      <c r="A149" s="60"/>
      <c r="B149" s="60"/>
      <c r="C149" s="60"/>
      <c r="D149" s="60"/>
      <c r="E149" s="60"/>
      <c r="F149" s="60"/>
      <c r="G149" s="60"/>
      <c r="H149" s="60"/>
      <c r="I149" s="60"/>
      <c r="J149" s="60"/>
      <c r="K149" s="60"/>
    </row>
    <row r="150" ht="27.75" customHeight="1" spans="1:11" s="53" customFormat="1" x14ac:dyDescent="0.25">
      <c r="A150" s="95" t="s">
        <v>222</v>
      </c>
      <c r="B150" s="95"/>
      <c r="C150" s="95"/>
      <c r="D150" s="95"/>
      <c r="E150" s="95"/>
      <c r="F150" s="95"/>
      <c r="G150" s="96"/>
      <c r="H150" s="97" t="s">
        <v>223</v>
      </c>
      <c r="I150" s="97"/>
      <c r="J150" s="97"/>
      <c r="K150" s="97"/>
    </row>
    <row r="151" ht="12.75" customHeight="1" spans="1:11" s="53" customFormat="1" x14ac:dyDescent="0.25">
      <c r="A151" s="98" t="s">
        <v>224</v>
      </c>
      <c r="B151" s="98"/>
      <c r="C151" s="98"/>
      <c r="D151" s="98"/>
      <c r="E151" s="98"/>
      <c r="F151" s="98"/>
      <c r="G151" s="98"/>
      <c r="H151" s="99" t="s">
        <v>225</v>
      </c>
      <c r="I151" s="99"/>
      <c r="J151" s="99"/>
      <c r="K151" s="99"/>
    </row>
    <row r="152" ht="12.75" customHeight="1" spans="1:11" s="53" customFormat="1" x14ac:dyDescent="0.25">
      <c r="A152" s="60"/>
      <c r="B152" s="61"/>
      <c r="C152" s="61"/>
      <c r="D152" s="61"/>
      <c r="E152" s="60"/>
      <c r="F152" s="60"/>
      <c r="G152" s="60"/>
      <c r="H152" s="61"/>
      <c r="I152" s="61"/>
      <c r="J152" s="61"/>
      <c r="K152" s="60"/>
    </row>
    <row r="153" ht="13.5" customHeight="1" spans="1:11" s="53" customFormat="1" x14ac:dyDescent="0.25">
      <c r="A153" s="60"/>
      <c r="B153" s="61"/>
      <c r="C153" s="61"/>
      <c r="D153" s="61"/>
      <c r="E153" s="60"/>
      <c r="F153" s="60"/>
      <c r="G153" s="60"/>
      <c r="H153" s="60"/>
      <c r="I153" s="60"/>
      <c r="J153" s="60"/>
      <c r="K153" s="60"/>
    </row>
    <row r="154" ht="16.5" customHeight="1" spans="1:11" s="53" customFormat="1" x14ac:dyDescent="0.25">
      <c r="A154" s="60"/>
      <c r="B154" s="60"/>
      <c r="C154" s="60"/>
      <c r="D154" s="60"/>
      <c r="E154" s="60"/>
      <c r="F154" s="60"/>
      <c r="G154" s="60"/>
      <c r="H154" s="60"/>
      <c r="I154" s="60"/>
      <c r="J154" s="60"/>
      <c r="K154" s="60"/>
    </row>
    <row r="155" ht="16.5" customHeight="1" spans="1:11" s="53" customFormat="1" x14ac:dyDescent="0.25">
      <c r="A155" s="60"/>
      <c r="B155" s="60"/>
      <c r="C155" s="60"/>
      <c r="D155" s="60"/>
      <c r="E155" s="60"/>
      <c r="F155" s="60"/>
      <c r="G155" s="60"/>
      <c r="H155" s="60"/>
      <c r="I155" s="60"/>
      <c r="J155" s="60"/>
      <c r="K155" s="60"/>
    </row>
    <row r="156" ht="16.5" customHeight="1" spans="1:11" s="53" customFormat="1" x14ac:dyDescent="0.25">
      <c r="A156" s="60"/>
      <c r="B156" s="60"/>
      <c r="C156" s="61"/>
      <c r="D156" s="60"/>
      <c r="E156" s="60"/>
      <c r="F156" s="60"/>
      <c r="G156" s="60"/>
      <c r="H156" s="60"/>
      <c r="I156" s="60"/>
      <c r="J156" s="60"/>
      <c r="K156" s="60"/>
    </row>
    <row r="157" ht="16.5" customHeight="1" spans="1:11" s="53" customFormat="1" x14ac:dyDescent="0.25">
      <c r="A157" s="60"/>
      <c r="B157" s="60"/>
      <c r="C157" s="60"/>
      <c r="D157" s="60"/>
      <c r="E157" s="60"/>
      <c r="F157" s="60"/>
      <c r="G157" s="60"/>
      <c r="H157" s="60"/>
      <c r="I157" s="60"/>
      <c r="J157" s="60"/>
      <c r="K157" s="60"/>
    </row>
    <row r="158" ht="16.5" customHeight="1" spans="1:11" s="53" customFormat="1" x14ac:dyDescent="0.25">
      <c r="A158" s="60"/>
      <c r="B158" s="60"/>
      <c r="C158" s="60"/>
      <c r="D158" s="60"/>
      <c r="E158" s="60"/>
      <c r="F158" s="60"/>
      <c r="G158" s="60"/>
      <c r="H158" s="60"/>
      <c r="I158" s="60"/>
      <c r="J158" s="60"/>
      <c r="K158" s="60"/>
    </row>
    <row r="159" ht="16.5" customHeight="1" spans="1:11" s="53" customFormat="1" x14ac:dyDescent="0.25">
      <c r="A159" s="100" t="s">
        <v>226</v>
      </c>
      <c r="B159" s="100"/>
      <c r="C159" s="100"/>
      <c r="D159" s="100"/>
      <c r="E159" s="100"/>
      <c r="F159" s="100"/>
      <c r="G159" s="60"/>
      <c r="H159" s="60"/>
      <c r="I159" s="60"/>
      <c r="J159" s="60"/>
      <c r="K159" s="60"/>
    </row>
    <row r="160" ht="15.75" customHeight="1" s="53" customFormat="1" x14ac:dyDescent="0.25"/>
    <row r="162" spans="3:3" x14ac:dyDescent="0.25">
      <c r="C162" s="98"/>
    </row>
  </sheetData>
  <mergeCells count="105">
    <mergeCell ref="A2:K2"/>
    <mergeCell ref="A3:K3"/>
    <mergeCell ref="A4:K4"/>
    <mergeCell ref="A5:K5"/>
    <mergeCell ref="A8:K9"/>
    <mergeCell ref="A10:K10"/>
    <mergeCell ref="A12:C12"/>
    <mergeCell ref="F12:H12"/>
    <mergeCell ref="A15:K15"/>
    <mergeCell ref="A20:C20"/>
    <mergeCell ref="D20:F20"/>
    <mergeCell ref="A21:B21"/>
    <mergeCell ref="C21:K21"/>
    <mergeCell ref="A22:B22"/>
    <mergeCell ref="C22:E22"/>
    <mergeCell ref="H22:K22"/>
    <mergeCell ref="A23:K23"/>
    <mergeCell ref="B24:D24"/>
    <mergeCell ref="F24:G24"/>
    <mergeCell ref="A25:C25"/>
    <mergeCell ref="D25:F25"/>
    <mergeCell ref="A26:D26"/>
    <mergeCell ref="A27:D27"/>
    <mergeCell ref="E27:K27"/>
    <mergeCell ref="A28:K28"/>
    <mergeCell ref="A29:K29"/>
    <mergeCell ref="A30:E30"/>
    <mergeCell ref="E35:G35"/>
    <mergeCell ref="A37:F37"/>
    <mergeCell ref="A38:K38"/>
    <mergeCell ref="A39:K39"/>
    <mergeCell ref="A40:K40"/>
    <mergeCell ref="A43:K43"/>
    <mergeCell ref="A62:K62"/>
    <mergeCell ref="A63:K63"/>
    <mergeCell ref="A64:K64"/>
    <mergeCell ref="A65:K65"/>
    <mergeCell ref="A66:K66"/>
    <mergeCell ref="B69:C69"/>
    <mergeCell ref="A71:K71"/>
    <mergeCell ref="A72:K72"/>
    <mergeCell ref="A73:K73"/>
    <mergeCell ref="B75:C75"/>
    <mergeCell ref="B77:C77"/>
    <mergeCell ref="A79:K79"/>
    <mergeCell ref="A81:K81"/>
    <mergeCell ref="A82:K82"/>
    <mergeCell ref="A84:K84"/>
    <mergeCell ref="A87:K87"/>
    <mergeCell ref="A90:K90"/>
    <mergeCell ref="A92:K92"/>
    <mergeCell ref="A93:K93"/>
    <mergeCell ref="A94:K94"/>
    <mergeCell ref="A95:K95"/>
    <mergeCell ref="A96:K96"/>
    <mergeCell ref="A97:K97"/>
    <mergeCell ref="A98:K98"/>
    <mergeCell ref="A99:K99"/>
    <mergeCell ref="A100:F100"/>
    <mergeCell ref="A102:K102"/>
    <mergeCell ref="A103:K103"/>
    <mergeCell ref="A104:K104"/>
    <mergeCell ref="A105:K105"/>
    <mergeCell ref="A106:K106"/>
    <mergeCell ref="A107:K107"/>
    <mergeCell ref="A108:K108"/>
    <mergeCell ref="A109:K109"/>
    <mergeCell ref="A110:K110"/>
    <mergeCell ref="A111:K111"/>
    <mergeCell ref="A113:K113"/>
    <mergeCell ref="A114:E114"/>
    <mergeCell ref="A115:K115"/>
    <mergeCell ref="A116:K116"/>
    <mergeCell ref="A117:K117"/>
    <mergeCell ref="A118:K118"/>
    <mergeCell ref="A119:K119"/>
    <mergeCell ref="A121:K121"/>
    <mergeCell ref="A122:K122"/>
    <mergeCell ref="A123:K123"/>
    <mergeCell ref="A124:K124"/>
    <mergeCell ref="A125:K125"/>
    <mergeCell ref="A126:G126"/>
    <mergeCell ref="A129:K129"/>
    <mergeCell ref="A130:K130"/>
    <mergeCell ref="A131:E131"/>
    <mergeCell ref="A134:K134"/>
    <mergeCell ref="A136:K136"/>
    <mergeCell ref="A137:K137"/>
    <mergeCell ref="A138:K138"/>
    <mergeCell ref="A139:K139"/>
    <mergeCell ref="A140:K140"/>
    <mergeCell ref="A141:K141"/>
    <mergeCell ref="A142:G142"/>
    <mergeCell ref="A144:G144"/>
    <mergeCell ref="A146:K146"/>
    <mergeCell ref="A147:K147"/>
    <mergeCell ref="A148:K148"/>
    <mergeCell ref="A150:F150"/>
    <mergeCell ref="H150:K150"/>
    <mergeCell ref="A151:F151"/>
    <mergeCell ref="H151:K151"/>
    <mergeCell ref="B152:D152"/>
    <mergeCell ref="H152:J152"/>
    <mergeCell ref="B153:D153"/>
    <mergeCell ref="A159:F159"/>
  </mergeCells>
  <pageMargins left="0.3937007874015748" right="0.1968503937007874" top="0.3937007874015748" bottom="0.3937007874015748" header="0.3937007874015748" footer="0.1968503937007874"/>
  <pageSetup paperSize="9" orientation="portrait" horizontalDpi="300" verticalDpi="300" scale="90" fitToWidth="1" fitToHeight="0" firstPageNumber="1" useFirstPageNumber="1" copies="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8"/>
  <sheetViews>
    <sheetView workbookViewId="0" zoomScale="100" zoomScaleNormal="100">
      <pane xSplit="6" ySplit="8" topLeftCell="M9" activePane="bottomRight" state="frozen"/>
      <selection pane="bottomRight" activeCell="C17" sqref="C17"/>
    </sheetView>
  </sheetViews>
  <sheetFormatPr defaultRowHeight="16.5" outlineLevelRow="0" outlineLevelCol="0" x14ac:dyDescent="0" defaultColWidth="9.140625" customHeight="1"/>
  <cols>
    <col min="1" max="1" width="0.140625" style="1" customWidth="1"/>
    <col min="2" max="2" width="7.42578125" style="2" customWidth="1"/>
    <col min="3" max="3" width="34.140625" style="2" customWidth="1"/>
    <col min="4" max="4" width="13" style="2" customWidth="1"/>
    <col min="5" max="5" width="9.85546875" style="2" customWidth="1"/>
    <col min="6" max="6" width="28.85546875" style="3" customWidth="1"/>
    <col min="7" max="7" width="10.42578125" style="4" customWidth="1"/>
    <col min="8" max="8" width="14.42578125" style="5" customWidth="1"/>
    <col min="9" max="9" width="17.140625" style="6" customWidth="1"/>
    <col min="10" max="10" width="13.85546875" style="5" customWidth="1"/>
    <col min="11" max="11" width="43.28515625" style="5" customWidth="1"/>
    <col min="12" max="12" width="16" style="6" customWidth="1"/>
    <col min="13" max="13" width="14.140625" style="7" customWidth="1"/>
    <col min="14" max="14" width="17.85546875" style="6" customWidth="1"/>
    <col min="15" max="15" width="26.140625" style="8" customWidth="1"/>
    <col min="16" max="16" width="11.42578125" style="6" customWidth="1"/>
    <col min="17" max="17" width="16.7109375" style="6" customWidth="1"/>
    <col min="18" max="18" width="15.28515625" style="5" customWidth="1"/>
    <col min="19" max="19" width="16.85546875" style="5" customWidth="1"/>
    <col min="20" max="20" width="55.5703125" style="3" customWidth="1"/>
    <col min="21" max="21" width="26.140625" style="4" customWidth="1"/>
    <col min="22" max="22" width="29.7109375" style="4" customWidth="1"/>
    <col min="23" max="23" width="17.7109375" style="4" customWidth="1"/>
    <col min="24" max="24" width="40" style="3" customWidth="1"/>
    <col min="25" max="25" width="19" style="4" customWidth="1"/>
    <col min="26" max="26" width="18" style="9" customWidth="1"/>
    <col min="27" max="31" width="18" style="10" customWidth="1"/>
    <col min="32" max="32" width="18" style="9" customWidth="1"/>
    <col min="33" max="34" width="19" style="10" customWidth="1"/>
    <col min="35" max="35" width="15.140625" style="11" customWidth="1"/>
    <col min="36" max="36" width="13.140625" style="1" customWidth="1"/>
    <col min="37" max="16384" width="9.140625" style="1" customWidth="1"/>
  </cols>
  <sheetData>
    <row r="1" spans="2:5" x14ac:dyDescent="0.25">
      <c r="B1" s="12" t="s">
        <v>0</v>
      </c>
      <c r="C1" s="12"/>
      <c r="D1" s="12"/>
      <c r="E1" s="12"/>
    </row>
    <row r="2" spans="2:5" x14ac:dyDescent="0.25">
      <c r="B2" s="13" t="s">
        <v>1</v>
      </c>
      <c r="C2" s="13"/>
      <c r="D2" s="13"/>
      <c r="E2" s="13"/>
    </row>
    <row r="5" ht="30.75" customHeight="1" spans="2:35" x14ac:dyDescent="0.25">
      <c r="B5" s="14"/>
      <c r="C5" s="14"/>
      <c r="D5" s="14"/>
      <c r="E5" s="14"/>
      <c r="F5" s="14"/>
      <c r="G5" s="15"/>
      <c r="H5" s="14"/>
      <c r="I5" s="14"/>
      <c r="J5" s="14"/>
      <c r="K5" s="14"/>
      <c r="L5" s="14"/>
      <c r="M5" s="14"/>
      <c r="N5" s="14"/>
      <c r="O5" s="14"/>
      <c r="P5" s="14"/>
      <c r="Q5" s="14"/>
      <c r="R5" s="14"/>
      <c r="S5" s="14"/>
      <c r="T5" s="14"/>
      <c r="U5" s="14"/>
      <c r="V5" s="14"/>
      <c r="W5" s="14"/>
      <c r="X5" s="14"/>
      <c r="Y5" s="15"/>
      <c r="Z5" s="16"/>
      <c r="AA5" s="17"/>
      <c r="AB5" s="17"/>
      <c r="AC5" s="17"/>
      <c r="AD5" s="17"/>
      <c r="AE5" s="17"/>
      <c r="AF5" s="16"/>
      <c r="AG5" s="15"/>
      <c r="AH5" s="15"/>
      <c r="AI5" s="18"/>
    </row>
    <row r="8" ht="42.75" customHeight="1" spans="2:35" s="19" customFormat="1" x14ac:dyDescent="0.25">
      <c r="B8" s="20" t="s">
        <v>2</v>
      </c>
      <c r="C8" s="20" t="s">
        <v>3</v>
      </c>
      <c r="D8" s="20" t="s">
        <v>4</v>
      </c>
      <c r="E8" s="20" t="s">
        <v>5</v>
      </c>
      <c r="F8" s="20" t="s">
        <v>6</v>
      </c>
      <c r="G8" s="20" t="s">
        <v>7</v>
      </c>
      <c r="H8" s="21" t="s">
        <v>8</v>
      </c>
      <c r="I8" s="22" t="s">
        <v>9</v>
      </c>
      <c r="J8" s="21" t="s">
        <v>10</v>
      </c>
      <c r="K8" s="21" t="s">
        <v>11</v>
      </c>
      <c r="L8" s="22" t="s">
        <v>12</v>
      </c>
      <c r="M8" s="21" t="s">
        <v>13</v>
      </c>
      <c r="N8" s="22" t="s">
        <v>14</v>
      </c>
      <c r="O8" s="22" t="s">
        <v>15</v>
      </c>
      <c r="P8" s="22" t="s">
        <v>16</v>
      </c>
      <c r="Q8" s="22" t="s">
        <v>17</v>
      </c>
      <c r="R8" s="21" t="s">
        <v>18</v>
      </c>
      <c r="S8" s="21" t="s">
        <v>19</v>
      </c>
      <c r="T8" s="20" t="s">
        <v>20</v>
      </c>
      <c r="U8" s="20" t="s">
        <v>21</v>
      </c>
      <c r="V8" s="20" t="s">
        <v>22</v>
      </c>
      <c r="W8" s="20" t="s">
        <v>23</v>
      </c>
      <c r="X8" s="20" t="s">
        <v>24</v>
      </c>
      <c r="Y8" s="20" t="s">
        <v>25</v>
      </c>
      <c r="Z8" s="22" t="s">
        <v>26</v>
      </c>
      <c r="AA8" s="23" t="s">
        <v>27</v>
      </c>
      <c r="AB8" s="23" t="s">
        <v>28</v>
      </c>
      <c r="AC8" s="23" t="s">
        <v>29</v>
      </c>
      <c r="AD8" s="23" t="s">
        <v>30</v>
      </c>
      <c r="AE8" s="23" t="s">
        <v>31</v>
      </c>
      <c r="AF8" s="22"/>
      <c r="AG8" s="23"/>
      <c r="AH8" s="23" t="s">
        <v>32</v>
      </c>
      <c r="AI8" s="24" t="s">
        <v>33</v>
      </c>
    </row>
    <row r="9" ht="21" customHeight="1" spans="2:35" s="25" customFormat="1" x14ac:dyDescent="0.25">
      <c r="B9" s="26" t="s">
        <v>34</v>
      </c>
      <c r="C9" s="26" t="s">
        <v>35</v>
      </c>
      <c r="D9" s="26" t="s">
        <v>36</v>
      </c>
      <c r="E9" s="26" t="s">
        <v>37</v>
      </c>
      <c r="F9" s="26" t="s">
        <v>38</v>
      </c>
      <c r="G9" s="26" t="s">
        <v>39</v>
      </c>
      <c r="H9" s="26" t="s">
        <v>40</v>
      </c>
      <c r="I9" s="26" t="s">
        <v>41</v>
      </c>
      <c r="J9" s="26" t="s">
        <v>42</v>
      </c>
      <c r="K9" s="26" t="s">
        <v>43</v>
      </c>
      <c r="L9" s="26" t="s">
        <v>44</v>
      </c>
      <c r="M9" s="26" t="s">
        <v>45</v>
      </c>
      <c r="N9" s="26" t="s">
        <v>46</v>
      </c>
      <c r="O9" s="26" t="s">
        <v>47</v>
      </c>
      <c r="P9" s="26" t="s">
        <v>48</v>
      </c>
      <c r="Q9" s="26" t="s">
        <v>49</v>
      </c>
      <c r="R9" s="26" t="s">
        <v>50</v>
      </c>
      <c r="S9" s="26" t="s">
        <v>51</v>
      </c>
      <c r="T9" s="26" t="s">
        <v>52</v>
      </c>
      <c r="U9" s="26" t="s">
        <v>53</v>
      </c>
      <c r="V9" s="26" t="s">
        <v>54</v>
      </c>
      <c r="W9" s="26" t="s">
        <v>55</v>
      </c>
      <c r="X9" s="26" t="s">
        <v>56</v>
      </c>
      <c r="Y9" s="26" t="s">
        <v>57</v>
      </c>
      <c r="Z9" s="26" t="s">
        <v>58</v>
      </c>
      <c r="AA9" s="26" t="s">
        <v>59</v>
      </c>
      <c r="AB9" s="26" t="s">
        <v>60</v>
      </c>
      <c r="AC9" s="26" t="s">
        <v>61</v>
      </c>
      <c r="AD9" s="26" t="s">
        <v>62</v>
      </c>
      <c r="AE9" s="26" t="s">
        <v>63</v>
      </c>
      <c r="AF9" s="26"/>
      <c r="AG9" s="26"/>
      <c r="AH9" s="26"/>
      <c r="AI9" s="27"/>
    </row>
    <row r="10" ht="34.5" customHeight="1" spans="2:35" s="28" customFormat="1" x14ac:dyDescent="0.25">
      <c r="B10" s="29">
        <f>ROW()-9</f>
      </c>
      <c r="C10" s="30"/>
      <c r="D10" s="31"/>
      <c r="E10" s="29"/>
      <c r="F10" s="32"/>
      <c r="G10" s="33"/>
      <c r="H10" s="34"/>
      <c r="I10" s="35"/>
      <c r="J10" s="34"/>
      <c r="K10" s="36"/>
      <c r="L10" s="35"/>
      <c r="M10" s="37"/>
      <c r="N10" s="35"/>
      <c r="O10" s="38"/>
      <c r="P10" s="35"/>
      <c r="Q10" s="35"/>
      <c r="R10" s="34"/>
      <c r="S10" s="34"/>
      <c r="T10" s="32"/>
      <c r="U10" s="33"/>
      <c r="V10" s="33"/>
      <c r="W10" s="33"/>
      <c r="X10" s="32"/>
      <c r="Y10" s="33"/>
      <c r="Z10" s="38"/>
      <c r="AA10" s="39"/>
      <c r="AB10" s="39"/>
      <c r="AC10" s="39"/>
      <c r="AD10" s="39"/>
      <c r="AE10" s="39"/>
      <c r="AF10" s="38"/>
      <c r="AG10" s="40"/>
      <c r="AH10" s="40"/>
      <c r="AI10" s="41"/>
    </row>
    <row r="11" ht="34.5" customHeight="1" spans="1:35" s="28" customFormat="1" x14ac:dyDescent="0.25">
      <c r="A11" s="28"/>
      <c r="B11" s="29"/>
      <c r="C11" s="29"/>
      <c r="D11" s="42"/>
      <c r="E11" s="29"/>
      <c r="F11" s="32"/>
      <c r="G11" s="33"/>
      <c r="H11" s="43"/>
      <c r="I11" s="35"/>
      <c r="J11" s="43"/>
      <c r="K11" s="43"/>
      <c r="L11" s="35"/>
      <c r="M11" s="44"/>
      <c r="N11" s="35"/>
      <c r="O11" s="38"/>
      <c r="P11" s="35"/>
      <c r="Q11" s="35"/>
      <c r="R11" s="43"/>
      <c r="S11" s="43"/>
      <c r="T11" s="32"/>
      <c r="U11" s="33"/>
      <c r="V11" s="33"/>
      <c r="W11" s="33"/>
      <c r="X11" s="32"/>
      <c r="Y11" s="33"/>
      <c r="Z11" s="38"/>
      <c r="AA11" s="40"/>
      <c r="AB11" s="40"/>
      <c r="AC11" s="40"/>
      <c r="AD11" s="40"/>
      <c r="AE11" s="40"/>
      <c r="AF11" s="38"/>
      <c r="AG11" s="40"/>
      <c r="AH11" s="40"/>
      <c r="AI11" s="41"/>
    </row>
    <row r="12" ht="34.5" customHeight="1" spans="1:35" s="28" customFormat="1" x14ac:dyDescent="0.25">
      <c r="A12" s="28"/>
      <c r="B12" s="29"/>
      <c r="C12" s="29"/>
      <c r="D12" s="42"/>
      <c r="E12" s="29"/>
      <c r="F12" s="32"/>
      <c r="G12" s="33"/>
      <c r="H12" s="43"/>
      <c r="I12" s="35"/>
      <c r="J12" s="43"/>
      <c r="K12" s="43"/>
      <c r="L12" s="35"/>
      <c r="M12" s="44"/>
      <c r="N12" s="35"/>
      <c r="O12" s="38"/>
      <c r="P12" s="35"/>
      <c r="Q12" s="35"/>
      <c r="R12" s="43"/>
      <c r="S12" s="43"/>
      <c r="T12" s="32"/>
      <c r="U12" s="33"/>
      <c r="V12" s="33"/>
      <c r="W12" s="33"/>
      <c r="X12" s="32"/>
      <c r="Y12" s="33"/>
      <c r="Z12" s="38"/>
      <c r="AA12" s="40"/>
      <c r="AB12" s="40"/>
      <c r="AC12" s="40"/>
      <c r="AD12" s="40"/>
      <c r="AE12" s="40"/>
      <c r="AF12" s="38"/>
      <c r="AG12" s="40"/>
      <c r="AH12" s="40"/>
      <c r="AI12" s="41"/>
    </row>
    <row r="13" ht="34.5" customHeight="1" spans="1:35" s="28" customFormat="1" x14ac:dyDescent="0.25">
      <c r="A13" s="28"/>
      <c r="B13" s="29"/>
      <c r="C13" s="29"/>
      <c r="D13" s="29"/>
      <c r="E13" s="29"/>
      <c r="F13" s="32"/>
      <c r="G13" s="33"/>
      <c r="H13" s="43"/>
      <c r="I13" s="35"/>
      <c r="J13" s="43"/>
      <c r="K13" s="43"/>
      <c r="L13" s="35"/>
      <c r="M13" s="44"/>
      <c r="N13" s="35"/>
      <c r="O13" s="38"/>
      <c r="P13" s="35"/>
      <c r="Q13" s="35"/>
      <c r="R13" s="43"/>
      <c r="S13" s="43"/>
      <c r="T13" s="32"/>
      <c r="U13" s="33"/>
      <c r="V13" s="33"/>
      <c r="W13" s="33"/>
      <c r="X13" s="32"/>
      <c r="Y13" s="33"/>
      <c r="Z13" s="38"/>
      <c r="AA13" s="40"/>
      <c r="AB13" s="40"/>
      <c r="AC13" s="40"/>
      <c r="AD13" s="40"/>
      <c r="AE13" s="40"/>
      <c r="AF13" s="38"/>
      <c r="AG13" s="40"/>
      <c r="AH13" s="40"/>
      <c r="AI13" s="41"/>
    </row>
    <row r="14" ht="34.5" customHeight="1" spans="1:35" s="28" customFormat="1" x14ac:dyDescent="0.25">
      <c r="A14" s="28"/>
      <c r="B14" s="29"/>
      <c r="C14" s="29"/>
      <c r="D14" s="29"/>
      <c r="E14" s="29"/>
      <c r="F14" s="32"/>
      <c r="G14" s="33"/>
      <c r="H14" s="43"/>
      <c r="I14" s="35"/>
      <c r="J14" s="43"/>
      <c r="K14" s="43"/>
      <c r="L14" s="35"/>
      <c r="M14" s="44"/>
      <c r="N14" s="35"/>
      <c r="O14" s="38"/>
      <c r="P14" s="35"/>
      <c r="Q14" s="35"/>
      <c r="R14" s="43"/>
      <c r="S14" s="43"/>
      <c r="T14" s="32"/>
      <c r="U14" s="33"/>
      <c r="V14" s="33"/>
      <c r="W14" s="33"/>
      <c r="X14" s="32"/>
      <c r="Y14" s="33"/>
      <c r="Z14" s="38"/>
      <c r="AA14" s="40"/>
      <c r="AB14" s="40"/>
      <c r="AC14" s="40"/>
      <c r="AD14" s="40"/>
      <c r="AE14" s="40"/>
      <c r="AF14" s="38"/>
      <c r="AG14" s="40"/>
      <c r="AH14" s="40"/>
      <c r="AI14" s="41"/>
    </row>
    <row r="15" ht="34.5" customHeight="1" spans="1:35" s="28" customFormat="1" x14ac:dyDescent="0.25">
      <c r="A15" s="28"/>
      <c r="B15" s="29"/>
      <c r="C15" s="29"/>
      <c r="D15" s="29"/>
      <c r="E15" s="29"/>
      <c r="F15" s="32"/>
      <c r="G15" s="33"/>
      <c r="H15" s="43"/>
      <c r="I15" s="35"/>
      <c r="J15" s="43"/>
      <c r="K15" s="43"/>
      <c r="L15" s="35"/>
      <c r="M15" s="44"/>
      <c r="N15" s="35"/>
      <c r="O15" s="38"/>
      <c r="P15" s="35"/>
      <c r="Q15" s="35"/>
      <c r="R15" s="43"/>
      <c r="S15" s="43"/>
      <c r="T15" s="32"/>
      <c r="U15" s="33"/>
      <c r="V15" s="33"/>
      <c r="W15" s="33"/>
      <c r="X15" s="32"/>
      <c r="Y15" s="33"/>
      <c r="Z15" s="38"/>
      <c r="AA15" s="40"/>
      <c r="AB15" s="40"/>
      <c r="AC15" s="40"/>
      <c r="AD15" s="40"/>
      <c r="AE15" s="40"/>
      <c r="AF15" s="38"/>
      <c r="AG15" s="40"/>
      <c r="AH15" s="40"/>
      <c r="AI15" s="41"/>
    </row>
    <row r="16" ht="34.5" customHeight="1" spans="1:35" s="28" customFormat="1" x14ac:dyDescent="0.25">
      <c r="A16" s="28"/>
      <c r="B16" s="29"/>
      <c r="C16" s="29"/>
      <c r="D16" s="29"/>
      <c r="E16" s="29"/>
      <c r="F16" s="32"/>
      <c r="G16" s="33"/>
      <c r="H16" s="43"/>
      <c r="I16" s="35"/>
      <c r="J16" s="43"/>
      <c r="K16" s="43"/>
      <c r="L16" s="35"/>
      <c r="M16" s="44"/>
      <c r="N16" s="35"/>
      <c r="O16" s="38"/>
      <c r="P16" s="35"/>
      <c r="Q16" s="35"/>
      <c r="R16" s="43"/>
      <c r="S16" s="43"/>
      <c r="T16" s="32"/>
      <c r="U16" s="33"/>
      <c r="V16" s="33"/>
      <c r="W16" s="33"/>
      <c r="X16" s="32"/>
      <c r="Y16" s="33"/>
      <c r="Z16" s="38"/>
      <c r="AA16" s="40"/>
      <c r="AB16" s="40"/>
      <c r="AC16" s="40"/>
      <c r="AD16" s="40"/>
      <c r="AE16" s="40"/>
      <c r="AF16" s="38"/>
      <c r="AG16" s="40"/>
      <c r="AH16" s="40"/>
      <c r="AI16" s="41"/>
    </row>
    <row r="17" ht="34.5" customHeight="1" spans="1:35" s="28" customFormat="1" x14ac:dyDescent="0.25">
      <c r="A17" s="28"/>
      <c r="B17" s="29"/>
      <c r="C17" s="29"/>
      <c r="D17" s="29"/>
      <c r="E17" s="29"/>
      <c r="F17" s="32"/>
      <c r="G17" s="33"/>
      <c r="H17" s="43"/>
      <c r="I17" s="35"/>
      <c r="J17" s="43"/>
      <c r="K17" s="43"/>
      <c r="L17" s="35"/>
      <c r="M17" s="44"/>
      <c r="N17" s="35"/>
      <c r="O17" s="38"/>
      <c r="P17" s="35"/>
      <c r="Q17" s="35"/>
      <c r="R17" s="43"/>
      <c r="S17" s="43"/>
      <c r="T17" s="32"/>
      <c r="U17" s="33"/>
      <c r="V17" s="33"/>
      <c r="W17" s="33"/>
      <c r="X17" s="32"/>
      <c r="Y17" s="33"/>
      <c r="Z17" s="38"/>
      <c r="AA17" s="40"/>
      <c r="AB17" s="40"/>
      <c r="AC17" s="40"/>
      <c r="AD17" s="40"/>
      <c r="AE17" s="40"/>
      <c r="AF17" s="38"/>
      <c r="AG17" s="40"/>
      <c r="AH17" s="40"/>
      <c r="AI17" s="41"/>
    </row>
    <row r="18" ht="34.5" customHeight="1" spans="1:35" s="28" customFormat="1" x14ac:dyDescent="0.25">
      <c r="A18" s="28"/>
      <c r="B18" s="29"/>
      <c r="C18" s="29"/>
      <c r="D18" s="29"/>
      <c r="E18" s="29"/>
      <c r="F18" s="32"/>
      <c r="G18" s="33"/>
      <c r="H18" s="43"/>
      <c r="I18" s="35"/>
      <c r="J18" s="43"/>
      <c r="K18" s="43"/>
      <c r="L18" s="35"/>
      <c r="M18" s="44"/>
      <c r="N18" s="35"/>
      <c r="O18" s="38"/>
      <c r="P18" s="35"/>
      <c r="Q18" s="35"/>
      <c r="R18" s="43"/>
      <c r="S18" s="43"/>
      <c r="T18" s="32"/>
      <c r="U18" s="33"/>
      <c r="V18" s="33"/>
      <c r="W18" s="33"/>
      <c r="X18" s="32"/>
      <c r="Y18" s="33"/>
      <c r="Z18" s="38"/>
      <c r="AA18" s="40"/>
      <c r="AB18" s="40"/>
      <c r="AC18" s="40"/>
      <c r="AD18" s="40"/>
      <c r="AE18" s="40"/>
      <c r="AF18" s="38"/>
      <c r="AG18" s="40"/>
      <c r="AH18" s="40"/>
      <c r="AI18" s="41"/>
    </row>
    <row r="19" ht="34.5" customHeight="1" spans="1:35" s="28" customFormat="1" x14ac:dyDescent="0.25">
      <c r="A19" s="28"/>
      <c r="B19" s="29"/>
      <c r="C19" s="29"/>
      <c r="D19" s="29"/>
      <c r="E19" s="29"/>
      <c r="F19" s="32"/>
      <c r="G19" s="33"/>
      <c r="H19" s="43"/>
      <c r="I19" s="35"/>
      <c r="J19" s="43"/>
      <c r="K19" s="43"/>
      <c r="L19" s="35"/>
      <c r="M19" s="44"/>
      <c r="N19" s="35"/>
      <c r="O19" s="38"/>
      <c r="P19" s="35"/>
      <c r="Q19" s="35"/>
      <c r="R19" s="43"/>
      <c r="S19" s="43"/>
      <c r="T19" s="32"/>
      <c r="U19" s="33"/>
      <c r="V19" s="33"/>
      <c r="W19" s="33"/>
      <c r="X19" s="32"/>
      <c r="Y19" s="33"/>
      <c r="Z19" s="38"/>
      <c r="AA19" s="40"/>
      <c r="AB19" s="40"/>
      <c r="AC19" s="40"/>
      <c r="AD19" s="40"/>
      <c r="AE19" s="40"/>
      <c r="AF19" s="38"/>
      <c r="AG19" s="40"/>
      <c r="AH19" s="40"/>
      <c r="AI19" s="41"/>
    </row>
    <row r="20" ht="34.5" customHeight="1" spans="1:35" s="28" customFormat="1" x14ac:dyDescent="0.25">
      <c r="A20" s="28"/>
      <c r="B20" s="29"/>
      <c r="C20" s="29"/>
      <c r="D20" s="29"/>
      <c r="E20" s="29"/>
      <c r="F20" s="32"/>
      <c r="G20" s="33"/>
      <c r="H20" s="43"/>
      <c r="I20" s="35"/>
      <c r="J20" s="43"/>
      <c r="K20" s="43"/>
      <c r="L20" s="35"/>
      <c r="M20" s="44"/>
      <c r="N20" s="35"/>
      <c r="O20" s="38"/>
      <c r="P20" s="35"/>
      <c r="Q20" s="35"/>
      <c r="R20" s="43"/>
      <c r="S20" s="43"/>
      <c r="T20" s="32"/>
      <c r="U20" s="33"/>
      <c r="V20" s="33"/>
      <c r="W20" s="33"/>
      <c r="X20" s="32"/>
      <c r="Y20" s="33"/>
      <c r="Z20" s="38"/>
      <c r="AA20" s="40"/>
      <c r="AB20" s="40"/>
      <c r="AC20" s="40"/>
      <c r="AD20" s="40"/>
      <c r="AE20" s="40"/>
      <c r="AF20" s="38"/>
      <c r="AG20" s="40"/>
      <c r="AH20" s="40"/>
      <c r="AI20" s="41"/>
    </row>
    <row r="21" ht="34.5" customHeight="1" spans="1:35" s="28" customFormat="1" x14ac:dyDescent="0.25">
      <c r="A21" s="28"/>
      <c r="B21" s="29"/>
      <c r="C21" s="29"/>
      <c r="D21" s="29"/>
      <c r="E21" s="29"/>
      <c r="F21" s="32"/>
      <c r="G21" s="33"/>
      <c r="H21" s="43"/>
      <c r="I21" s="35"/>
      <c r="J21" s="43"/>
      <c r="K21" s="43"/>
      <c r="L21" s="35"/>
      <c r="M21" s="44"/>
      <c r="N21" s="35"/>
      <c r="O21" s="38"/>
      <c r="P21" s="35"/>
      <c r="Q21" s="35"/>
      <c r="R21" s="43"/>
      <c r="S21" s="43"/>
      <c r="T21" s="32"/>
      <c r="U21" s="33"/>
      <c r="V21" s="33"/>
      <c r="W21" s="33"/>
      <c r="X21" s="32"/>
      <c r="Y21" s="33"/>
      <c r="Z21" s="38"/>
      <c r="AA21" s="40"/>
      <c r="AB21" s="40"/>
      <c r="AC21" s="40"/>
      <c r="AD21" s="40"/>
      <c r="AE21" s="40"/>
      <c r="AF21" s="38"/>
      <c r="AG21" s="40"/>
      <c r="AH21" s="40"/>
      <c r="AI21" s="41"/>
    </row>
    <row r="22" ht="34.5" customHeight="1" spans="1:35" s="28" customFormat="1" x14ac:dyDescent="0.25">
      <c r="A22" s="28"/>
      <c r="B22" s="29"/>
      <c r="C22" s="29"/>
      <c r="D22" s="29"/>
      <c r="E22" s="29"/>
      <c r="F22" s="32"/>
      <c r="G22" s="33"/>
      <c r="H22" s="43"/>
      <c r="I22" s="35"/>
      <c r="J22" s="43"/>
      <c r="K22" s="43"/>
      <c r="L22" s="35"/>
      <c r="M22" s="44"/>
      <c r="N22" s="35"/>
      <c r="O22" s="38"/>
      <c r="P22" s="35"/>
      <c r="Q22" s="35"/>
      <c r="R22" s="43"/>
      <c r="S22" s="43"/>
      <c r="T22" s="32"/>
      <c r="U22" s="33"/>
      <c r="V22" s="33"/>
      <c r="W22" s="33"/>
      <c r="X22" s="32"/>
      <c r="Y22" s="33"/>
      <c r="Z22" s="38"/>
      <c r="AA22" s="40"/>
      <c r="AB22" s="40"/>
      <c r="AC22" s="40"/>
      <c r="AD22" s="40"/>
      <c r="AE22" s="40"/>
      <c r="AF22" s="38"/>
      <c r="AG22" s="40"/>
      <c r="AH22" s="40"/>
      <c r="AI22" s="41"/>
    </row>
    <row r="23" ht="34.5" customHeight="1" spans="1:35" s="28" customFormat="1" x14ac:dyDescent="0.25">
      <c r="A23" s="28"/>
      <c r="B23" s="29"/>
      <c r="C23" s="29"/>
      <c r="D23" s="29"/>
      <c r="E23" s="29"/>
      <c r="F23" s="32"/>
      <c r="G23" s="33"/>
      <c r="H23" s="43"/>
      <c r="I23" s="35"/>
      <c r="J23" s="43"/>
      <c r="K23" s="43"/>
      <c r="L23" s="35"/>
      <c r="M23" s="44"/>
      <c r="N23" s="35"/>
      <c r="O23" s="38"/>
      <c r="P23" s="35"/>
      <c r="Q23" s="35"/>
      <c r="R23" s="43"/>
      <c r="S23" s="43"/>
      <c r="T23" s="32"/>
      <c r="U23" s="33"/>
      <c r="V23" s="33"/>
      <c r="W23" s="33"/>
      <c r="X23" s="32"/>
      <c r="Y23" s="33"/>
      <c r="Z23" s="38"/>
      <c r="AA23" s="40"/>
      <c r="AB23" s="40"/>
      <c r="AC23" s="40"/>
      <c r="AD23" s="40"/>
      <c r="AE23" s="40"/>
      <c r="AF23" s="38"/>
      <c r="AG23" s="40"/>
      <c r="AH23" s="40"/>
      <c r="AI23" s="41"/>
    </row>
    <row r="24" ht="34.5" customHeight="1" spans="1:35" s="28" customFormat="1" x14ac:dyDescent="0.25">
      <c r="A24" s="28"/>
      <c r="B24" s="29"/>
      <c r="C24" s="29"/>
      <c r="D24" s="29"/>
      <c r="E24" s="29"/>
      <c r="F24" s="32"/>
      <c r="G24" s="33"/>
      <c r="H24" s="43"/>
      <c r="I24" s="35"/>
      <c r="J24" s="43"/>
      <c r="K24" s="43"/>
      <c r="L24" s="35"/>
      <c r="M24" s="44"/>
      <c r="N24" s="35"/>
      <c r="O24" s="38"/>
      <c r="P24" s="35"/>
      <c r="Q24" s="35"/>
      <c r="R24" s="43"/>
      <c r="S24" s="43"/>
      <c r="T24" s="32"/>
      <c r="U24" s="33"/>
      <c r="V24" s="33"/>
      <c r="W24" s="33"/>
      <c r="X24" s="32"/>
      <c r="Y24" s="33"/>
      <c r="Z24" s="38"/>
      <c r="AA24" s="40"/>
      <c r="AB24" s="40"/>
      <c r="AC24" s="40"/>
      <c r="AD24" s="40"/>
      <c r="AE24" s="40"/>
      <c r="AF24" s="38"/>
      <c r="AG24" s="40"/>
      <c r="AH24" s="40"/>
      <c r="AI24" s="41"/>
    </row>
    <row r="25" ht="34.5" customHeight="1" spans="1:35" s="28" customFormat="1" x14ac:dyDescent="0.25">
      <c r="A25" s="28"/>
      <c r="B25" s="29"/>
      <c r="C25" s="29"/>
      <c r="D25" s="29"/>
      <c r="E25" s="29"/>
      <c r="F25" s="32"/>
      <c r="G25" s="33"/>
      <c r="H25" s="43"/>
      <c r="I25" s="35"/>
      <c r="J25" s="43"/>
      <c r="K25" s="43"/>
      <c r="L25" s="35"/>
      <c r="M25" s="44"/>
      <c r="N25" s="35"/>
      <c r="O25" s="38"/>
      <c r="P25" s="35"/>
      <c r="Q25" s="35"/>
      <c r="R25" s="43"/>
      <c r="S25" s="43"/>
      <c r="T25" s="32"/>
      <c r="U25" s="33"/>
      <c r="V25" s="33"/>
      <c r="W25" s="33"/>
      <c r="X25" s="32"/>
      <c r="Y25" s="33"/>
      <c r="Z25" s="38"/>
      <c r="AA25" s="40"/>
      <c r="AB25" s="40"/>
      <c r="AC25" s="40"/>
      <c r="AD25" s="40"/>
      <c r="AE25" s="40"/>
      <c r="AF25" s="38"/>
      <c r="AG25" s="40"/>
      <c r="AH25" s="40"/>
      <c r="AI25" s="41"/>
    </row>
    <row r="26" ht="34.5" customHeight="1" spans="1:35" s="28" customFormat="1" x14ac:dyDescent="0.25">
      <c r="A26" s="28"/>
      <c r="B26" s="29"/>
      <c r="C26" s="29"/>
      <c r="D26" s="29"/>
      <c r="E26" s="29"/>
      <c r="F26" s="32"/>
      <c r="G26" s="33"/>
      <c r="H26" s="43"/>
      <c r="I26" s="35"/>
      <c r="J26" s="43"/>
      <c r="K26" s="43"/>
      <c r="L26" s="35"/>
      <c r="M26" s="44"/>
      <c r="N26" s="35"/>
      <c r="O26" s="38"/>
      <c r="P26" s="35"/>
      <c r="Q26" s="35"/>
      <c r="R26" s="43"/>
      <c r="S26" s="43"/>
      <c r="T26" s="32"/>
      <c r="U26" s="33"/>
      <c r="V26" s="33"/>
      <c r="W26" s="33"/>
      <c r="X26" s="32"/>
      <c r="Y26" s="33"/>
      <c r="Z26" s="38"/>
      <c r="AA26" s="40"/>
      <c r="AB26" s="40"/>
      <c r="AC26" s="40"/>
      <c r="AD26" s="40"/>
      <c r="AE26" s="40"/>
      <c r="AF26" s="38"/>
      <c r="AG26" s="40"/>
      <c r="AH26" s="40"/>
      <c r="AI26" s="41"/>
    </row>
    <row r="27" ht="34.5" customHeight="1" spans="1:35" s="28" customFormat="1" x14ac:dyDescent="0.25">
      <c r="A27" s="28"/>
      <c r="B27" s="29"/>
      <c r="C27" s="29"/>
      <c r="D27" s="29"/>
      <c r="E27" s="29"/>
      <c r="F27" s="32"/>
      <c r="G27" s="33"/>
      <c r="H27" s="43"/>
      <c r="I27" s="35"/>
      <c r="J27" s="43"/>
      <c r="K27" s="43"/>
      <c r="L27" s="35"/>
      <c r="M27" s="44"/>
      <c r="N27" s="35"/>
      <c r="O27" s="38"/>
      <c r="P27" s="35"/>
      <c r="Q27" s="35"/>
      <c r="R27" s="43"/>
      <c r="S27" s="43"/>
      <c r="T27" s="32"/>
      <c r="U27" s="33"/>
      <c r="V27" s="33"/>
      <c r="W27" s="33"/>
      <c r="X27" s="32"/>
      <c r="Y27" s="33"/>
      <c r="Z27" s="38"/>
      <c r="AA27" s="40"/>
      <c r="AB27" s="40"/>
      <c r="AC27" s="40"/>
      <c r="AD27" s="40"/>
      <c r="AE27" s="40"/>
      <c r="AF27" s="38"/>
      <c r="AG27" s="40"/>
      <c r="AH27" s="40"/>
      <c r="AI27" s="41"/>
    </row>
    <row r="28" ht="34.5" customHeight="1" spans="1:35" s="28" customFormat="1" x14ac:dyDescent="0.25">
      <c r="A28" s="28"/>
      <c r="B28" s="29"/>
      <c r="C28" s="29"/>
      <c r="D28" s="29"/>
      <c r="E28" s="29"/>
      <c r="F28" s="32"/>
      <c r="G28" s="33"/>
      <c r="H28" s="43"/>
      <c r="I28" s="35"/>
      <c r="J28" s="43"/>
      <c r="K28" s="43"/>
      <c r="L28" s="35"/>
      <c r="M28" s="44"/>
      <c r="N28" s="35"/>
      <c r="O28" s="38"/>
      <c r="P28" s="35"/>
      <c r="Q28" s="35"/>
      <c r="R28" s="43"/>
      <c r="S28" s="43"/>
      <c r="T28" s="32"/>
      <c r="U28" s="33"/>
      <c r="V28" s="33"/>
      <c r="W28" s="33"/>
      <c r="X28" s="32"/>
      <c r="Y28" s="33"/>
      <c r="Z28" s="38"/>
      <c r="AA28" s="40"/>
      <c r="AB28" s="40"/>
      <c r="AC28" s="40"/>
      <c r="AD28" s="40"/>
      <c r="AE28" s="40"/>
      <c r="AF28" s="38"/>
      <c r="AG28" s="40"/>
      <c r="AH28" s="40"/>
      <c r="AI28" s="41"/>
    </row>
    <row r="29" ht="34.5" customHeight="1" spans="1:35" s="28" customFormat="1" x14ac:dyDescent="0.25">
      <c r="A29" s="28"/>
      <c r="B29" s="29"/>
      <c r="C29" s="29"/>
      <c r="D29" s="29"/>
      <c r="E29" s="29"/>
      <c r="F29" s="32"/>
      <c r="G29" s="33"/>
      <c r="H29" s="43"/>
      <c r="I29" s="35"/>
      <c r="J29" s="43"/>
      <c r="K29" s="43"/>
      <c r="L29" s="35"/>
      <c r="M29" s="44"/>
      <c r="N29" s="35"/>
      <c r="O29" s="38"/>
      <c r="P29" s="35"/>
      <c r="Q29" s="35"/>
      <c r="R29" s="43"/>
      <c r="S29" s="43"/>
      <c r="T29" s="32"/>
      <c r="U29" s="33"/>
      <c r="V29" s="33"/>
      <c r="W29" s="33"/>
      <c r="X29" s="32"/>
      <c r="Y29" s="33"/>
      <c r="Z29" s="38"/>
      <c r="AA29" s="40"/>
      <c r="AB29" s="40"/>
      <c r="AC29" s="40"/>
      <c r="AD29" s="40"/>
      <c r="AE29" s="40"/>
      <c r="AF29" s="38"/>
      <c r="AG29" s="40"/>
      <c r="AH29" s="40"/>
      <c r="AI29" s="41"/>
    </row>
    <row r="30" ht="34.5" customHeight="1" spans="1:35" s="28" customFormat="1" x14ac:dyDescent="0.25">
      <c r="A30" s="28"/>
      <c r="B30" s="29"/>
      <c r="C30" s="29"/>
      <c r="D30" s="29"/>
      <c r="E30" s="29"/>
      <c r="F30" s="32"/>
      <c r="G30" s="33"/>
      <c r="H30" s="43"/>
      <c r="I30" s="35"/>
      <c r="J30" s="43"/>
      <c r="K30" s="43"/>
      <c r="L30" s="35"/>
      <c r="M30" s="44"/>
      <c r="N30" s="35"/>
      <c r="O30" s="38"/>
      <c r="P30" s="35"/>
      <c r="Q30" s="35"/>
      <c r="R30" s="43"/>
      <c r="S30" s="43"/>
      <c r="T30" s="32"/>
      <c r="U30" s="33"/>
      <c r="V30" s="33"/>
      <c r="W30" s="33"/>
      <c r="X30" s="32"/>
      <c r="Y30" s="33"/>
      <c r="Z30" s="38"/>
      <c r="AA30" s="40"/>
      <c r="AB30" s="40"/>
      <c r="AC30" s="40"/>
      <c r="AD30" s="40"/>
      <c r="AE30" s="40"/>
      <c r="AF30" s="38"/>
      <c r="AG30" s="40"/>
      <c r="AH30" s="40"/>
      <c r="AI30" s="41"/>
    </row>
    <row r="31" ht="34.5" customHeight="1" spans="1:35" s="28" customFormat="1" x14ac:dyDescent="0.25">
      <c r="A31" s="28"/>
      <c r="B31" s="29"/>
      <c r="C31" s="29"/>
      <c r="D31" s="29"/>
      <c r="E31" s="29"/>
      <c r="F31" s="32"/>
      <c r="G31" s="33"/>
      <c r="H31" s="43"/>
      <c r="I31" s="35"/>
      <c r="J31" s="43"/>
      <c r="K31" s="43"/>
      <c r="L31" s="35"/>
      <c r="M31" s="44"/>
      <c r="N31" s="35"/>
      <c r="O31" s="38"/>
      <c r="P31" s="35"/>
      <c r="Q31" s="35"/>
      <c r="R31" s="43"/>
      <c r="S31" s="43"/>
      <c r="T31" s="32"/>
      <c r="U31" s="33"/>
      <c r="V31" s="33"/>
      <c r="W31" s="33"/>
      <c r="X31" s="32"/>
      <c r="Y31" s="33"/>
      <c r="Z31" s="38"/>
      <c r="AA31" s="40"/>
      <c r="AB31" s="40"/>
      <c r="AC31" s="40"/>
      <c r="AD31" s="40"/>
      <c r="AE31" s="40"/>
      <c r="AF31" s="38"/>
      <c r="AG31" s="40"/>
      <c r="AH31" s="40"/>
      <c r="AI31" s="41"/>
    </row>
    <row r="32" ht="34.5" customHeight="1" spans="1:35" s="28" customFormat="1" x14ac:dyDescent="0.25">
      <c r="A32" s="28"/>
      <c r="B32" s="29"/>
      <c r="C32" s="29"/>
      <c r="D32" s="29"/>
      <c r="E32" s="29"/>
      <c r="F32" s="32"/>
      <c r="G32" s="33"/>
      <c r="H32" s="43"/>
      <c r="I32" s="35"/>
      <c r="J32" s="43"/>
      <c r="K32" s="43"/>
      <c r="L32" s="35"/>
      <c r="M32" s="44"/>
      <c r="N32" s="35"/>
      <c r="O32" s="38"/>
      <c r="P32" s="35"/>
      <c r="Q32" s="35"/>
      <c r="R32" s="43"/>
      <c r="S32" s="43"/>
      <c r="T32" s="32"/>
      <c r="U32" s="33"/>
      <c r="V32" s="33"/>
      <c r="W32" s="33"/>
      <c r="X32" s="32"/>
      <c r="Y32" s="33"/>
      <c r="Z32" s="38"/>
      <c r="AA32" s="40"/>
      <c r="AB32" s="40"/>
      <c r="AC32" s="40"/>
      <c r="AD32" s="40"/>
      <c r="AE32" s="40"/>
      <c r="AF32" s="38"/>
      <c r="AG32" s="40"/>
      <c r="AH32" s="40"/>
      <c r="AI32" s="41"/>
    </row>
    <row r="33" ht="34.5" customHeight="1" spans="1:35" s="28" customFormat="1" x14ac:dyDescent="0.25">
      <c r="A33" s="28"/>
      <c r="B33" s="29"/>
      <c r="C33" s="29"/>
      <c r="D33" s="29"/>
      <c r="E33" s="29"/>
      <c r="F33" s="32"/>
      <c r="G33" s="33"/>
      <c r="H33" s="43"/>
      <c r="I33" s="35"/>
      <c r="J33" s="43"/>
      <c r="K33" s="43"/>
      <c r="L33" s="35"/>
      <c r="M33" s="44"/>
      <c r="N33" s="35"/>
      <c r="O33" s="38"/>
      <c r="P33" s="35"/>
      <c r="Q33" s="35"/>
      <c r="R33" s="43"/>
      <c r="S33" s="43"/>
      <c r="T33" s="32"/>
      <c r="U33" s="33"/>
      <c r="V33" s="33"/>
      <c r="W33" s="33"/>
      <c r="X33" s="32"/>
      <c r="Y33" s="33"/>
      <c r="Z33" s="38"/>
      <c r="AA33" s="40"/>
      <c r="AB33" s="40"/>
      <c r="AC33" s="40"/>
      <c r="AD33" s="40"/>
      <c r="AE33" s="40"/>
      <c r="AF33" s="38"/>
      <c r="AG33" s="40"/>
      <c r="AH33" s="40"/>
      <c r="AI33" s="41"/>
    </row>
    <row r="34" ht="34.5" customHeight="1" spans="1:35" s="28" customFormat="1" x14ac:dyDescent="0.25">
      <c r="A34" s="28"/>
      <c r="B34" s="29"/>
      <c r="C34" s="29"/>
      <c r="D34" s="29"/>
      <c r="E34" s="29"/>
      <c r="F34" s="32"/>
      <c r="G34" s="33"/>
      <c r="H34" s="43"/>
      <c r="I34" s="35"/>
      <c r="J34" s="43"/>
      <c r="K34" s="43"/>
      <c r="L34" s="35"/>
      <c r="M34" s="44"/>
      <c r="N34" s="35"/>
      <c r="O34" s="38"/>
      <c r="P34" s="38"/>
      <c r="Q34" s="35"/>
      <c r="R34" s="43"/>
      <c r="S34" s="43"/>
      <c r="T34" s="32"/>
      <c r="U34" s="33"/>
      <c r="V34" s="33"/>
      <c r="W34" s="33"/>
      <c r="X34" s="32"/>
      <c r="Y34" s="33"/>
      <c r="Z34" s="38"/>
      <c r="AA34" s="40"/>
      <c r="AB34" s="40"/>
      <c r="AC34" s="40"/>
      <c r="AD34" s="40"/>
      <c r="AE34" s="40"/>
      <c r="AF34" s="38"/>
      <c r="AG34" s="40"/>
      <c r="AH34" s="40"/>
      <c r="AI34" s="41"/>
    </row>
    <row r="35" ht="34.5" customHeight="1" spans="1:35" s="28" customFormat="1" x14ac:dyDescent="0.25">
      <c r="A35" s="28"/>
      <c r="B35" s="29"/>
      <c r="C35" s="29"/>
      <c r="D35" s="29"/>
      <c r="E35" s="29"/>
      <c r="F35" s="32"/>
      <c r="G35" s="33"/>
      <c r="H35" s="43"/>
      <c r="I35" s="35"/>
      <c r="J35" s="43"/>
      <c r="K35" s="43"/>
      <c r="L35" s="35"/>
      <c r="M35" s="44"/>
      <c r="N35" s="35"/>
      <c r="O35" s="38"/>
      <c r="P35" s="35"/>
      <c r="Q35" s="35"/>
      <c r="R35" s="43"/>
      <c r="S35" s="43"/>
      <c r="T35" s="32"/>
      <c r="U35" s="33"/>
      <c r="V35" s="33"/>
      <c r="W35" s="33"/>
      <c r="X35" s="32"/>
      <c r="Y35" s="33"/>
      <c r="Z35" s="38"/>
      <c r="AA35" s="40"/>
      <c r="AB35" s="40"/>
      <c r="AC35" s="40"/>
      <c r="AD35" s="40"/>
      <c r="AE35" s="40"/>
      <c r="AF35" s="38"/>
      <c r="AG35" s="40"/>
      <c r="AH35" s="40"/>
      <c r="AI35" s="41"/>
    </row>
    <row r="36" ht="34.5" customHeight="1" spans="1:35" s="28" customFormat="1" x14ac:dyDescent="0.25">
      <c r="A36" s="28"/>
      <c r="B36" s="29"/>
      <c r="C36" s="29"/>
      <c r="D36" s="29"/>
      <c r="E36" s="29"/>
      <c r="F36" s="32"/>
      <c r="G36" s="33"/>
      <c r="H36" s="43"/>
      <c r="I36" s="35"/>
      <c r="J36" s="43"/>
      <c r="K36" s="43"/>
      <c r="L36" s="35"/>
      <c r="M36" s="44"/>
      <c r="N36" s="35"/>
      <c r="O36" s="38"/>
      <c r="P36" s="35"/>
      <c r="Q36" s="35"/>
      <c r="R36" s="43"/>
      <c r="S36" s="43"/>
      <c r="T36" s="32"/>
      <c r="U36" s="33"/>
      <c r="V36" s="33"/>
      <c r="W36" s="33"/>
      <c r="X36" s="32"/>
      <c r="Y36" s="33"/>
      <c r="Z36" s="38"/>
      <c r="AA36" s="40"/>
      <c r="AB36" s="40"/>
      <c r="AC36" s="40"/>
      <c r="AD36" s="40"/>
      <c r="AE36" s="40"/>
      <c r="AF36" s="38"/>
      <c r="AG36" s="40"/>
      <c r="AH36" s="40"/>
      <c r="AI36" s="41"/>
    </row>
    <row r="37" ht="34.5" customHeight="1" spans="1:35" s="28" customFormat="1" x14ac:dyDescent="0.25">
      <c r="A37" s="28"/>
      <c r="B37" s="29"/>
      <c r="C37" s="29"/>
      <c r="D37" s="29"/>
      <c r="E37" s="29"/>
      <c r="F37" s="32"/>
      <c r="G37" s="33"/>
      <c r="H37" s="43"/>
      <c r="I37" s="35"/>
      <c r="J37" s="43"/>
      <c r="K37" s="43"/>
      <c r="L37" s="35"/>
      <c r="M37" s="44"/>
      <c r="N37" s="35"/>
      <c r="O37" s="38"/>
      <c r="P37" s="35"/>
      <c r="Q37" s="35"/>
      <c r="R37" s="43"/>
      <c r="S37" s="43"/>
      <c r="T37" s="32"/>
      <c r="U37" s="33"/>
      <c r="V37" s="33"/>
      <c r="W37" s="33"/>
      <c r="X37" s="32"/>
      <c r="Y37" s="33"/>
      <c r="Z37" s="38"/>
      <c r="AA37" s="40"/>
      <c r="AB37" s="40"/>
      <c r="AC37" s="40"/>
      <c r="AD37" s="40"/>
      <c r="AE37" s="40"/>
      <c r="AF37" s="38"/>
      <c r="AG37" s="40"/>
      <c r="AH37" s="40"/>
      <c r="AI37" s="41"/>
    </row>
    <row r="38" ht="34.5" customHeight="1" spans="1:35" s="28" customFormat="1" x14ac:dyDescent="0.25">
      <c r="A38" s="28"/>
      <c r="B38" s="29"/>
      <c r="C38" s="29"/>
      <c r="D38" s="29"/>
      <c r="E38" s="29"/>
      <c r="F38" s="32"/>
      <c r="G38" s="33"/>
      <c r="H38" s="43"/>
      <c r="I38" s="35"/>
      <c r="J38" s="43"/>
      <c r="K38" s="43"/>
      <c r="L38" s="35"/>
      <c r="M38" s="44"/>
      <c r="N38" s="35"/>
      <c r="O38" s="38"/>
      <c r="P38" s="35"/>
      <c r="Q38" s="35"/>
      <c r="R38" s="43"/>
      <c r="S38" s="43"/>
      <c r="T38" s="32"/>
      <c r="U38" s="33"/>
      <c r="V38" s="33"/>
      <c r="W38" s="33"/>
      <c r="X38" s="32"/>
      <c r="Y38" s="33"/>
      <c r="Z38" s="38"/>
      <c r="AA38" s="40"/>
      <c r="AB38" s="40"/>
      <c r="AC38" s="40"/>
      <c r="AD38" s="40"/>
      <c r="AE38" s="40"/>
      <c r="AF38" s="38"/>
      <c r="AG38" s="40"/>
      <c r="AH38" s="40"/>
      <c r="AI38" s="41"/>
    </row>
    <row r="39" ht="34.5" customHeight="1" spans="1:35" s="28" customFormat="1" x14ac:dyDescent="0.25">
      <c r="A39" s="28"/>
      <c r="B39" s="29"/>
      <c r="C39" s="29"/>
      <c r="D39" s="29"/>
      <c r="E39" s="29"/>
      <c r="F39" s="32"/>
      <c r="G39" s="33"/>
      <c r="H39" s="43"/>
      <c r="I39" s="35"/>
      <c r="J39" s="43"/>
      <c r="K39" s="43"/>
      <c r="L39" s="35"/>
      <c r="M39" s="44"/>
      <c r="N39" s="35"/>
      <c r="O39" s="38"/>
      <c r="P39" s="35"/>
      <c r="Q39" s="35"/>
      <c r="R39" s="43"/>
      <c r="S39" s="43"/>
      <c r="T39" s="32"/>
      <c r="U39" s="33"/>
      <c r="V39" s="33"/>
      <c r="W39" s="33"/>
      <c r="X39" s="32"/>
      <c r="Y39" s="33"/>
      <c r="Z39" s="38"/>
      <c r="AA39" s="40"/>
      <c r="AB39" s="40"/>
      <c r="AC39" s="40"/>
      <c r="AD39" s="40"/>
      <c r="AE39" s="40"/>
      <c r="AF39" s="38"/>
      <c r="AG39" s="40"/>
      <c r="AH39" s="40"/>
      <c r="AI39" s="41"/>
    </row>
    <row r="40" ht="34.5" customHeight="1" spans="1:35" s="28" customFormat="1" x14ac:dyDescent="0.25">
      <c r="A40" s="28"/>
      <c r="B40" s="29"/>
      <c r="C40" s="29"/>
      <c r="D40" s="29"/>
      <c r="E40" s="29"/>
      <c r="F40" s="32"/>
      <c r="G40" s="33"/>
      <c r="H40" s="43"/>
      <c r="I40" s="35"/>
      <c r="J40" s="43"/>
      <c r="K40" s="43"/>
      <c r="L40" s="35"/>
      <c r="M40" s="44"/>
      <c r="N40" s="35"/>
      <c r="O40" s="38"/>
      <c r="P40" s="35"/>
      <c r="Q40" s="35"/>
      <c r="R40" s="43"/>
      <c r="S40" s="43"/>
      <c r="T40" s="32"/>
      <c r="U40" s="33"/>
      <c r="V40" s="33"/>
      <c r="W40" s="33"/>
      <c r="X40" s="32"/>
      <c r="Y40" s="33"/>
      <c r="Z40" s="38"/>
      <c r="AA40" s="40"/>
      <c r="AB40" s="40"/>
      <c r="AC40" s="40"/>
      <c r="AD40" s="40"/>
      <c r="AE40" s="40"/>
      <c r="AF40" s="38"/>
      <c r="AG40" s="40"/>
      <c r="AH40" s="40"/>
      <c r="AI40" s="41"/>
    </row>
    <row r="41" ht="34.5" customHeight="1" spans="1:35" s="28" customFormat="1" x14ac:dyDescent="0.25">
      <c r="A41" s="28"/>
      <c r="B41" s="29"/>
      <c r="C41" s="29"/>
      <c r="D41" s="29"/>
      <c r="E41" s="29"/>
      <c r="F41" s="32"/>
      <c r="G41" s="33"/>
      <c r="H41" s="43"/>
      <c r="I41" s="35"/>
      <c r="J41" s="43"/>
      <c r="K41" s="43"/>
      <c r="L41" s="35"/>
      <c r="M41" s="44"/>
      <c r="N41" s="35"/>
      <c r="O41" s="38"/>
      <c r="P41" s="35"/>
      <c r="Q41" s="35"/>
      <c r="R41" s="43"/>
      <c r="S41" s="43"/>
      <c r="T41" s="32"/>
      <c r="U41" s="33"/>
      <c r="V41" s="33"/>
      <c r="W41" s="33"/>
      <c r="X41" s="32"/>
      <c r="Y41" s="33"/>
      <c r="Z41" s="38"/>
      <c r="AA41" s="40"/>
      <c r="AB41" s="40"/>
      <c r="AC41" s="40"/>
      <c r="AD41" s="40"/>
      <c r="AE41" s="40"/>
      <c r="AF41" s="38"/>
      <c r="AG41" s="40"/>
      <c r="AH41" s="40"/>
      <c r="AI41" s="41"/>
    </row>
    <row r="42" ht="34.5" customHeight="1" spans="1:35" s="28" customFormat="1" x14ac:dyDescent="0.25">
      <c r="A42" s="28"/>
      <c r="B42" s="29"/>
      <c r="C42" s="29"/>
      <c r="D42" s="29"/>
      <c r="E42" s="29"/>
      <c r="F42" s="32"/>
      <c r="G42" s="33"/>
      <c r="H42" s="43"/>
      <c r="I42" s="35"/>
      <c r="J42" s="43"/>
      <c r="K42" s="43"/>
      <c r="L42" s="35"/>
      <c r="M42" s="44"/>
      <c r="N42" s="35"/>
      <c r="O42" s="38"/>
      <c r="P42" s="35"/>
      <c r="Q42" s="35"/>
      <c r="R42" s="43"/>
      <c r="S42" s="43"/>
      <c r="T42" s="32"/>
      <c r="U42" s="33"/>
      <c r="V42" s="33"/>
      <c r="W42" s="33"/>
      <c r="X42" s="32"/>
      <c r="Y42" s="33"/>
      <c r="Z42" s="38"/>
      <c r="AA42" s="40"/>
      <c r="AB42" s="40"/>
      <c r="AC42" s="40"/>
      <c r="AD42" s="40"/>
      <c r="AE42" s="40"/>
      <c r="AF42" s="38"/>
      <c r="AG42" s="40"/>
      <c r="AH42" s="40"/>
      <c r="AI42" s="41"/>
    </row>
    <row r="43" ht="34.5" customHeight="1" spans="1:35" s="28" customFormat="1" x14ac:dyDescent="0.25">
      <c r="A43" s="28"/>
      <c r="B43" s="29"/>
      <c r="C43" s="29"/>
      <c r="D43" s="29"/>
      <c r="E43" s="29"/>
      <c r="F43" s="32"/>
      <c r="G43" s="33"/>
      <c r="H43" s="43"/>
      <c r="I43" s="35"/>
      <c r="J43" s="43"/>
      <c r="K43" s="43"/>
      <c r="L43" s="35"/>
      <c r="M43" s="44"/>
      <c r="N43" s="35"/>
      <c r="O43" s="38"/>
      <c r="P43" s="35"/>
      <c r="Q43" s="35"/>
      <c r="R43" s="43"/>
      <c r="S43" s="43"/>
      <c r="T43" s="32"/>
      <c r="U43" s="33"/>
      <c r="V43" s="33"/>
      <c r="W43" s="33"/>
      <c r="X43" s="32"/>
      <c r="Y43" s="33"/>
      <c r="Z43" s="38"/>
      <c r="AA43" s="40"/>
      <c r="AB43" s="40"/>
      <c r="AC43" s="40"/>
      <c r="AD43" s="40"/>
      <c r="AE43" s="40"/>
      <c r="AF43" s="38"/>
      <c r="AG43" s="40"/>
      <c r="AH43" s="40"/>
      <c r="AI43" s="41"/>
    </row>
    <row r="44" ht="34.5" customHeight="1" spans="1:35" s="28" customFormat="1" x14ac:dyDescent="0.25">
      <c r="A44" s="28"/>
      <c r="B44" s="29"/>
      <c r="C44" s="29"/>
      <c r="D44" s="29"/>
      <c r="E44" s="29"/>
      <c r="F44" s="32"/>
      <c r="G44" s="33"/>
      <c r="H44" s="43"/>
      <c r="I44" s="35"/>
      <c r="J44" s="43"/>
      <c r="K44" s="43"/>
      <c r="L44" s="35"/>
      <c r="M44" s="44"/>
      <c r="N44" s="35"/>
      <c r="O44" s="38"/>
      <c r="P44" s="35"/>
      <c r="Q44" s="35"/>
      <c r="R44" s="43"/>
      <c r="S44" s="43"/>
      <c r="T44" s="32"/>
      <c r="U44" s="33"/>
      <c r="V44" s="33"/>
      <c r="W44" s="33"/>
      <c r="X44" s="32"/>
      <c r="Y44" s="33"/>
      <c r="Z44" s="38"/>
      <c r="AA44" s="40"/>
      <c r="AB44" s="40"/>
      <c r="AC44" s="40"/>
      <c r="AD44" s="40"/>
      <c r="AE44" s="40"/>
      <c r="AF44" s="38"/>
      <c r="AG44" s="40"/>
      <c r="AH44" s="40"/>
      <c r="AI44" s="41"/>
    </row>
    <row r="45" ht="34.5" customHeight="1" spans="1:35" s="28" customFormat="1" x14ac:dyDescent="0.25">
      <c r="A45" s="28"/>
      <c r="B45" s="29"/>
      <c r="C45" s="29"/>
      <c r="D45" s="29"/>
      <c r="E45" s="29"/>
      <c r="F45" s="32"/>
      <c r="G45" s="33"/>
      <c r="H45" s="43"/>
      <c r="I45" s="35"/>
      <c r="J45" s="43"/>
      <c r="K45" s="43"/>
      <c r="L45" s="35"/>
      <c r="M45" s="44"/>
      <c r="N45" s="35"/>
      <c r="O45" s="38"/>
      <c r="P45" s="35"/>
      <c r="Q45" s="35"/>
      <c r="R45" s="43"/>
      <c r="S45" s="43"/>
      <c r="T45" s="32"/>
      <c r="U45" s="33"/>
      <c r="V45" s="33"/>
      <c r="W45" s="33"/>
      <c r="X45" s="32"/>
      <c r="Y45" s="33"/>
      <c r="Z45" s="38"/>
      <c r="AA45" s="40"/>
      <c r="AB45" s="40"/>
      <c r="AC45" s="40"/>
      <c r="AD45" s="40"/>
      <c r="AE45" s="40"/>
      <c r="AF45" s="38"/>
      <c r="AG45" s="40"/>
      <c r="AH45" s="40"/>
      <c r="AI45" s="41"/>
    </row>
    <row r="46" ht="34.5" customHeight="1" spans="1:35" s="28" customFormat="1" x14ac:dyDescent="0.25">
      <c r="A46" s="28"/>
      <c r="B46" s="29"/>
      <c r="C46" s="29"/>
      <c r="D46" s="29"/>
      <c r="E46" s="29"/>
      <c r="F46" s="32"/>
      <c r="G46" s="33"/>
      <c r="H46" s="43"/>
      <c r="I46" s="35"/>
      <c r="J46" s="43"/>
      <c r="K46" s="43"/>
      <c r="L46" s="35"/>
      <c r="M46" s="44"/>
      <c r="N46" s="35"/>
      <c r="O46" s="38"/>
      <c r="P46" s="35"/>
      <c r="Q46" s="35"/>
      <c r="R46" s="43"/>
      <c r="S46" s="43"/>
      <c r="T46" s="32"/>
      <c r="U46" s="33"/>
      <c r="V46" s="33"/>
      <c r="W46" s="33"/>
      <c r="X46" s="32"/>
      <c r="Y46" s="33"/>
      <c r="Z46" s="38"/>
      <c r="AA46" s="40"/>
      <c r="AB46" s="40"/>
      <c r="AC46" s="40"/>
      <c r="AD46" s="40"/>
      <c r="AE46" s="40"/>
      <c r="AF46" s="38"/>
      <c r="AG46" s="40"/>
      <c r="AH46" s="40"/>
      <c r="AI46" s="41"/>
    </row>
    <row r="47" ht="34.5" customHeight="1" spans="1:35" s="28" customFormat="1" x14ac:dyDescent="0.25">
      <c r="A47" s="28"/>
      <c r="B47" s="29"/>
      <c r="C47" s="29"/>
      <c r="D47" s="29"/>
      <c r="E47" s="29"/>
      <c r="F47" s="32"/>
      <c r="G47" s="33"/>
      <c r="H47" s="43"/>
      <c r="I47" s="35"/>
      <c r="J47" s="43"/>
      <c r="K47" s="43"/>
      <c r="L47" s="35"/>
      <c r="M47" s="44"/>
      <c r="N47" s="35"/>
      <c r="O47" s="38"/>
      <c r="P47" s="35"/>
      <c r="Q47" s="35"/>
      <c r="R47" s="43"/>
      <c r="S47" s="43"/>
      <c r="T47" s="32"/>
      <c r="U47" s="33"/>
      <c r="V47" s="33"/>
      <c r="W47" s="33"/>
      <c r="X47" s="32"/>
      <c r="Y47" s="33"/>
      <c r="Z47" s="38"/>
      <c r="AA47" s="40"/>
      <c r="AB47" s="40"/>
      <c r="AC47" s="40"/>
      <c r="AD47" s="40"/>
      <c r="AE47" s="40"/>
      <c r="AF47" s="38"/>
      <c r="AG47" s="40"/>
      <c r="AH47" s="40"/>
      <c r="AI47" s="41"/>
    </row>
    <row r="48" ht="34.5" customHeight="1" spans="1:35" s="28" customFormat="1" x14ac:dyDescent="0.25">
      <c r="A48" s="28"/>
      <c r="B48" s="29"/>
      <c r="C48" s="29"/>
      <c r="D48" s="29"/>
      <c r="E48" s="29"/>
      <c r="F48" s="32"/>
      <c r="G48" s="33"/>
      <c r="H48" s="43"/>
      <c r="I48" s="35"/>
      <c r="J48" s="43"/>
      <c r="K48" s="43"/>
      <c r="L48" s="35"/>
      <c r="M48" s="44"/>
      <c r="N48" s="35"/>
      <c r="O48" s="38"/>
      <c r="P48" s="35"/>
      <c r="Q48" s="35"/>
      <c r="R48" s="43"/>
      <c r="S48" s="43"/>
      <c r="T48" s="32"/>
      <c r="U48" s="33"/>
      <c r="V48" s="33"/>
      <c r="W48" s="33"/>
      <c r="X48" s="32"/>
      <c r="Y48" s="33"/>
      <c r="Z48" s="38"/>
      <c r="AA48" s="40"/>
      <c r="AB48" s="40"/>
      <c r="AC48" s="40"/>
      <c r="AD48" s="40"/>
      <c r="AE48" s="40"/>
      <c r="AF48" s="38"/>
      <c r="AG48" s="40"/>
      <c r="AH48" s="40"/>
      <c r="AI48" s="41"/>
    </row>
    <row r="49" ht="34.5" customHeight="1" spans="1:35" s="28" customFormat="1" x14ac:dyDescent="0.25">
      <c r="A49" s="28"/>
      <c r="B49" s="29"/>
      <c r="C49" s="29"/>
      <c r="D49" s="29"/>
      <c r="E49" s="29"/>
      <c r="F49" s="32"/>
      <c r="G49" s="33"/>
      <c r="H49" s="43"/>
      <c r="I49" s="35"/>
      <c r="J49" s="43"/>
      <c r="K49" s="43"/>
      <c r="L49" s="35"/>
      <c r="M49" s="44"/>
      <c r="N49" s="35"/>
      <c r="O49" s="38"/>
      <c r="P49" s="35"/>
      <c r="Q49" s="35"/>
      <c r="R49" s="43"/>
      <c r="S49" s="43"/>
      <c r="T49" s="32"/>
      <c r="U49" s="33"/>
      <c r="V49" s="33"/>
      <c r="W49" s="33"/>
      <c r="X49" s="32"/>
      <c r="Y49" s="33"/>
      <c r="Z49" s="38"/>
      <c r="AA49" s="40"/>
      <c r="AB49" s="40"/>
      <c r="AC49" s="40"/>
      <c r="AD49" s="40"/>
      <c r="AE49" s="40"/>
      <c r="AF49" s="38"/>
      <c r="AG49" s="40"/>
      <c r="AH49" s="40"/>
      <c r="AI49" s="41"/>
    </row>
    <row r="50" ht="34.5" customHeight="1" spans="1:35" s="28" customFormat="1" x14ac:dyDescent="0.25">
      <c r="A50" s="28"/>
      <c r="B50" s="29"/>
      <c r="C50" s="29"/>
      <c r="D50" s="29"/>
      <c r="E50" s="29"/>
      <c r="F50" s="32"/>
      <c r="G50" s="33"/>
      <c r="H50" s="43"/>
      <c r="I50" s="35"/>
      <c r="J50" s="43"/>
      <c r="K50" s="43"/>
      <c r="L50" s="35"/>
      <c r="M50" s="44"/>
      <c r="N50" s="35"/>
      <c r="O50" s="38"/>
      <c r="P50" s="35"/>
      <c r="Q50" s="35"/>
      <c r="R50" s="43"/>
      <c r="S50" s="43"/>
      <c r="T50" s="32"/>
      <c r="U50" s="33"/>
      <c r="V50" s="33"/>
      <c r="W50" s="33"/>
      <c r="X50" s="32"/>
      <c r="Y50" s="33"/>
      <c r="Z50" s="38"/>
      <c r="AA50" s="40"/>
      <c r="AB50" s="40"/>
      <c r="AC50" s="40"/>
      <c r="AD50" s="40"/>
      <c r="AE50" s="40"/>
      <c r="AF50" s="38"/>
      <c r="AG50" s="40"/>
      <c r="AH50" s="40"/>
      <c r="AI50" s="41"/>
    </row>
    <row r="51" ht="34.5" customHeight="1" spans="1:35" s="28" customFormat="1" x14ac:dyDescent="0.25">
      <c r="A51" s="28"/>
      <c r="B51" s="29"/>
      <c r="C51" s="29"/>
      <c r="D51" s="29"/>
      <c r="E51" s="29"/>
      <c r="F51" s="32"/>
      <c r="G51" s="33"/>
      <c r="H51" s="43"/>
      <c r="I51" s="35"/>
      <c r="J51" s="43"/>
      <c r="K51" s="43"/>
      <c r="L51" s="35"/>
      <c r="M51" s="44"/>
      <c r="N51" s="35"/>
      <c r="O51" s="38"/>
      <c r="P51" s="35"/>
      <c r="Q51" s="35"/>
      <c r="R51" s="43"/>
      <c r="S51" s="43"/>
      <c r="T51" s="32"/>
      <c r="U51" s="33"/>
      <c r="V51" s="33"/>
      <c r="W51" s="33"/>
      <c r="X51" s="32"/>
      <c r="Y51" s="33"/>
      <c r="Z51" s="38"/>
      <c r="AA51" s="40"/>
      <c r="AB51" s="40"/>
      <c r="AC51" s="40"/>
      <c r="AD51" s="40"/>
      <c r="AE51" s="40"/>
      <c r="AF51" s="38"/>
      <c r="AG51" s="40"/>
      <c r="AH51" s="40"/>
      <c r="AI51" s="41"/>
    </row>
    <row r="52" ht="34.5" customHeight="1" spans="1:35" s="28" customFormat="1" x14ac:dyDescent="0.25">
      <c r="A52" s="28"/>
      <c r="B52" s="29"/>
      <c r="C52" s="29"/>
      <c r="D52" s="29"/>
      <c r="E52" s="29"/>
      <c r="F52" s="32"/>
      <c r="G52" s="33"/>
      <c r="H52" s="43"/>
      <c r="I52" s="35"/>
      <c r="J52" s="43"/>
      <c r="K52" s="43"/>
      <c r="L52" s="35"/>
      <c r="M52" s="44"/>
      <c r="N52" s="35"/>
      <c r="O52" s="38"/>
      <c r="P52" s="35"/>
      <c r="Q52" s="35"/>
      <c r="R52" s="43"/>
      <c r="S52" s="43"/>
      <c r="T52" s="32"/>
      <c r="U52" s="33"/>
      <c r="V52" s="33"/>
      <c r="W52" s="33"/>
      <c r="X52" s="32"/>
      <c r="Y52" s="33"/>
      <c r="Z52" s="38"/>
      <c r="AA52" s="40"/>
      <c r="AB52" s="40"/>
      <c r="AC52" s="40"/>
      <c r="AD52" s="40"/>
      <c r="AE52" s="40"/>
      <c r="AF52" s="38"/>
      <c r="AG52" s="40"/>
      <c r="AH52" s="40"/>
      <c r="AI52" s="41"/>
    </row>
    <row r="53" ht="34.5" customHeight="1" spans="1:35" s="28" customFormat="1" x14ac:dyDescent="0.25">
      <c r="A53" s="28"/>
      <c r="B53" s="29"/>
      <c r="C53" s="29"/>
      <c r="D53" s="29"/>
      <c r="E53" s="29"/>
      <c r="F53" s="32"/>
      <c r="G53" s="33"/>
      <c r="H53" s="43"/>
      <c r="I53" s="35"/>
      <c r="J53" s="43"/>
      <c r="K53" s="43"/>
      <c r="L53" s="35"/>
      <c r="M53" s="44"/>
      <c r="N53" s="35"/>
      <c r="O53" s="38"/>
      <c r="P53" s="35"/>
      <c r="Q53" s="35"/>
      <c r="R53" s="43"/>
      <c r="S53" s="43"/>
      <c r="T53" s="32"/>
      <c r="U53" s="33"/>
      <c r="V53" s="33"/>
      <c r="W53" s="33"/>
      <c r="X53" s="32"/>
      <c r="Y53" s="33"/>
      <c r="Z53" s="38"/>
      <c r="AA53" s="40"/>
      <c r="AB53" s="40"/>
      <c r="AC53" s="40"/>
      <c r="AD53" s="40"/>
      <c r="AE53" s="40"/>
      <c r="AF53" s="38"/>
      <c r="AG53" s="40"/>
      <c r="AH53" s="40"/>
      <c r="AI53" s="41"/>
    </row>
    <row r="54" ht="34.5" customHeight="1" spans="1:35" s="28" customFormat="1" x14ac:dyDescent="0.25">
      <c r="A54" s="28"/>
      <c r="B54" s="29"/>
      <c r="C54" s="29"/>
      <c r="D54" s="29"/>
      <c r="E54" s="29"/>
      <c r="F54" s="32"/>
      <c r="G54" s="33"/>
      <c r="H54" s="43"/>
      <c r="I54" s="35"/>
      <c r="J54" s="43"/>
      <c r="K54" s="43"/>
      <c r="L54" s="35"/>
      <c r="M54" s="44"/>
      <c r="N54" s="35"/>
      <c r="O54" s="38"/>
      <c r="P54" s="35"/>
      <c r="Q54" s="35"/>
      <c r="R54" s="43"/>
      <c r="S54" s="43"/>
      <c r="T54" s="32"/>
      <c r="U54" s="33"/>
      <c r="V54" s="33"/>
      <c r="W54" s="33"/>
      <c r="X54" s="32"/>
      <c r="Y54" s="33"/>
      <c r="Z54" s="38"/>
      <c r="AA54" s="40"/>
      <c r="AB54" s="40"/>
      <c r="AC54" s="40"/>
      <c r="AD54" s="40"/>
      <c r="AE54" s="40"/>
      <c r="AF54" s="38"/>
      <c r="AG54" s="40"/>
      <c r="AH54" s="40"/>
      <c r="AI54" s="41"/>
    </row>
    <row r="55" ht="34.5" customHeight="1" spans="1:35" s="28" customFormat="1" x14ac:dyDescent="0.25">
      <c r="A55" s="28"/>
      <c r="B55" s="29"/>
      <c r="C55" s="29"/>
      <c r="D55" s="29"/>
      <c r="E55" s="29"/>
      <c r="F55" s="32"/>
      <c r="G55" s="33"/>
      <c r="H55" s="43"/>
      <c r="I55" s="35"/>
      <c r="J55" s="43"/>
      <c r="K55" s="43"/>
      <c r="L55" s="35"/>
      <c r="M55" s="44"/>
      <c r="N55" s="35"/>
      <c r="O55" s="38"/>
      <c r="P55" s="35"/>
      <c r="Q55" s="35"/>
      <c r="R55" s="43"/>
      <c r="S55" s="43"/>
      <c r="T55" s="32"/>
      <c r="U55" s="33"/>
      <c r="V55" s="33"/>
      <c r="W55" s="33"/>
      <c r="X55" s="32"/>
      <c r="Y55" s="33"/>
      <c r="Z55" s="38"/>
      <c r="AA55" s="40"/>
      <c r="AB55" s="40"/>
      <c r="AC55" s="40"/>
      <c r="AD55" s="40"/>
      <c r="AE55" s="40"/>
      <c r="AF55" s="38"/>
      <c r="AG55" s="40"/>
      <c r="AH55" s="40"/>
      <c r="AI55" s="41"/>
    </row>
    <row r="56" ht="34.5" customHeight="1" spans="1:35" s="28" customFormat="1" x14ac:dyDescent="0.25">
      <c r="A56" s="28"/>
      <c r="B56" s="29"/>
      <c r="C56" s="29"/>
      <c r="D56" s="29"/>
      <c r="E56" s="29"/>
      <c r="F56" s="32"/>
      <c r="G56" s="33"/>
      <c r="H56" s="43"/>
      <c r="I56" s="35"/>
      <c r="J56" s="43"/>
      <c r="K56" s="43"/>
      <c r="L56" s="35"/>
      <c r="M56" s="44"/>
      <c r="N56" s="35"/>
      <c r="O56" s="38"/>
      <c r="P56" s="35"/>
      <c r="Q56" s="35"/>
      <c r="R56" s="43"/>
      <c r="S56" s="43"/>
      <c r="T56" s="32"/>
      <c r="U56" s="33"/>
      <c r="V56" s="33"/>
      <c r="W56" s="33"/>
      <c r="X56" s="32"/>
      <c r="Y56" s="33"/>
      <c r="Z56" s="38"/>
      <c r="AA56" s="40"/>
      <c r="AB56" s="40"/>
      <c r="AC56" s="40"/>
      <c r="AD56" s="40"/>
      <c r="AE56" s="40"/>
      <c r="AF56" s="38"/>
      <c r="AG56" s="40"/>
      <c r="AH56" s="40"/>
      <c r="AI56" s="41"/>
    </row>
    <row r="57" ht="34.5" customHeight="1" spans="1:35" s="28" customFormat="1" x14ac:dyDescent="0.25">
      <c r="A57" s="28"/>
      <c r="B57" s="29"/>
      <c r="C57" s="29"/>
      <c r="D57" s="29"/>
      <c r="E57" s="29"/>
      <c r="F57" s="32"/>
      <c r="G57" s="33"/>
      <c r="H57" s="43"/>
      <c r="I57" s="35"/>
      <c r="J57" s="43"/>
      <c r="K57" s="43"/>
      <c r="L57" s="35"/>
      <c r="M57" s="44"/>
      <c r="N57" s="35"/>
      <c r="O57" s="38"/>
      <c r="P57" s="35"/>
      <c r="Q57" s="35"/>
      <c r="R57" s="43"/>
      <c r="S57" s="43"/>
      <c r="T57" s="32"/>
      <c r="U57" s="33"/>
      <c r="V57" s="33"/>
      <c r="W57" s="33"/>
      <c r="X57" s="32"/>
      <c r="Y57" s="33"/>
      <c r="Z57" s="38"/>
      <c r="AA57" s="40"/>
      <c r="AB57" s="40"/>
      <c r="AC57" s="40"/>
      <c r="AD57" s="40"/>
      <c r="AE57" s="40"/>
      <c r="AF57" s="38"/>
      <c r="AG57" s="40"/>
      <c r="AH57" s="40"/>
      <c r="AI57" s="41"/>
    </row>
    <row r="58" ht="34.5" customHeight="1" spans="1:35" s="28" customFormat="1" x14ac:dyDescent="0.25">
      <c r="A58" s="28"/>
      <c r="B58" s="29"/>
      <c r="C58" s="29"/>
      <c r="D58" s="29"/>
      <c r="E58" s="29"/>
      <c r="F58" s="32"/>
      <c r="G58" s="33"/>
      <c r="H58" s="43"/>
      <c r="I58" s="35"/>
      <c r="J58" s="43"/>
      <c r="K58" s="43"/>
      <c r="L58" s="35"/>
      <c r="M58" s="44"/>
      <c r="N58" s="35"/>
      <c r="O58" s="38"/>
      <c r="P58" s="35"/>
      <c r="Q58" s="35"/>
      <c r="R58" s="43"/>
      <c r="S58" s="43"/>
      <c r="T58" s="32"/>
      <c r="U58" s="33"/>
      <c r="V58" s="33"/>
      <c r="W58" s="33"/>
      <c r="X58" s="32"/>
      <c r="Y58" s="33"/>
      <c r="Z58" s="38"/>
      <c r="AA58" s="40"/>
      <c r="AB58" s="40"/>
      <c r="AC58" s="40"/>
      <c r="AD58" s="40"/>
      <c r="AE58" s="40"/>
      <c r="AF58" s="38"/>
      <c r="AG58" s="40"/>
      <c r="AH58" s="40"/>
      <c r="AI58" s="41"/>
    </row>
    <row r="59" ht="34.5" customHeight="1" spans="1:35" s="28" customFormat="1" x14ac:dyDescent="0.25">
      <c r="A59" s="28"/>
      <c r="B59" s="29"/>
      <c r="C59" s="29"/>
      <c r="D59" s="29"/>
      <c r="E59" s="29"/>
      <c r="F59" s="32"/>
      <c r="G59" s="33"/>
      <c r="H59" s="43"/>
      <c r="I59" s="35"/>
      <c r="J59" s="43"/>
      <c r="K59" s="43"/>
      <c r="L59" s="35"/>
      <c r="M59" s="44"/>
      <c r="N59" s="35"/>
      <c r="O59" s="38"/>
      <c r="P59" s="35"/>
      <c r="Q59" s="35"/>
      <c r="R59" s="43"/>
      <c r="S59" s="43"/>
      <c r="T59" s="32"/>
      <c r="U59" s="33"/>
      <c r="V59" s="33"/>
      <c r="W59" s="33"/>
      <c r="X59" s="32"/>
      <c r="Y59" s="33"/>
      <c r="Z59" s="38"/>
      <c r="AA59" s="40"/>
      <c r="AB59" s="40"/>
      <c r="AC59" s="40"/>
      <c r="AD59" s="40"/>
      <c r="AE59" s="40"/>
      <c r="AF59" s="38"/>
      <c r="AG59" s="40"/>
      <c r="AH59" s="40"/>
      <c r="AI59" s="41"/>
    </row>
    <row r="60" ht="34.5" customHeight="1" spans="1:35" s="28" customFormat="1" x14ac:dyDescent="0.25">
      <c r="A60" s="28"/>
      <c r="B60" s="29"/>
      <c r="C60" s="29"/>
      <c r="D60" s="29"/>
      <c r="E60" s="29"/>
      <c r="F60" s="32"/>
      <c r="G60" s="33"/>
      <c r="H60" s="43"/>
      <c r="I60" s="35"/>
      <c r="J60" s="43"/>
      <c r="K60" s="43"/>
      <c r="L60" s="35"/>
      <c r="M60" s="44"/>
      <c r="N60" s="35"/>
      <c r="O60" s="38"/>
      <c r="P60" s="35"/>
      <c r="Q60" s="35"/>
      <c r="R60" s="43"/>
      <c r="S60" s="43"/>
      <c r="T60" s="32"/>
      <c r="U60" s="33"/>
      <c r="V60" s="33"/>
      <c r="W60" s="33"/>
      <c r="X60" s="32"/>
      <c r="Y60" s="33"/>
      <c r="Z60" s="38"/>
      <c r="AA60" s="40"/>
      <c r="AB60" s="40"/>
      <c r="AC60" s="40"/>
      <c r="AD60" s="40"/>
      <c r="AE60" s="40"/>
      <c r="AF60" s="38"/>
      <c r="AG60" s="40"/>
      <c r="AH60" s="40"/>
      <c r="AI60" s="41"/>
    </row>
    <row r="61" ht="34.5" customHeight="1" spans="1:35" s="28" customFormat="1" x14ac:dyDescent="0.25">
      <c r="A61" s="28"/>
      <c r="B61" s="29"/>
      <c r="C61" s="29"/>
      <c r="D61" s="29"/>
      <c r="E61" s="29"/>
      <c r="F61" s="32"/>
      <c r="G61" s="33"/>
      <c r="H61" s="43"/>
      <c r="I61" s="35"/>
      <c r="J61" s="43"/>
      <c r="K61" s="43"/>
      <c r="L61" s="35"/>
      <c r="M61" s="44"/>
      <c r="N61" s="35"/>
      <c r="O61" s="38"/>
      <c r="P61" s="35"/>
      <c r="Q61" s="35"/>
      <c r="R61" s="43"/>
      <c r="S61" s="43"/>
      <c r="T61" s="32"/>
      <c r="U61" s="33"/>
      <c r="V61" s="33"/>
      <c r="W61" s="33"/>
      <c r="X61" s="32"/>
      <c r="Y61" s="33"/>
      <c r="Z61" s="38"/>
      <c r="AA61" s="40"/>
      <c r="AB61" s="40"/>
      <c r="AC61" s="40"/>
      <c r="AD61" s="40"/>
      <c r="AE61" s="40"/>
      <c r="AF61" s="38"/>
      <c r="AG61" s="40"/>
      <c r="AH61" s="40"/>
      <c r="AI61" s="41"/>
    </row>
    <row r="62" ht="34.5" customHeight="1" spans="1:35" s="28" customFormat="1" x14ac:dyDescent="0.25">
      <c r="A62" s="28"/>
      <c r="B62" s="29"/>
      <c r="C62" s="29"/>
      <c r="D62" s="29"/>
      <c r="E62" s="29"/>
      <c r="F62" s="32"/>
      <c r="G62" s="33"/>
      <c r="H62" s="43"/>
      <c r="I62" s="35"/>
      <c r="J62" s="43"/>
      <c r="K62" s="43"/>
      <c r="L62" s="35"/>
      <c r="M62" s="44"/>
      <c r="N62" s="35"/>
      <c r="O62" s="38"/>
      <c r="P62" s="35"/>
      <c r="Q62" s="35"/>
      <c r="R62" s="43"/>
      <c r="S62" s="43"/>
      <c r="T62" s="32"/>
      <c r="U62" s="33"/>
      <c r="V62" s="33"/>
      <c r="W62" s="33"/>
      <c r="X62" s="32"/>
      <c r="Y62" s="33"/>
      <c r="Z62" s="38"/>
      <c r="AA62" s="40"/>
      <c r="AB62" s="40"/>
      <c r="AC62" s="40"/>
      <c r="AD62" s="40"/>
      <c r="AE62" s="40"/>
      <c r="AF62" s="38"/>
      <c r="AG62" s="40"/>
      <c r="AH62" s="40"/>
      <c r="AI62" s="41"/>
    </row>
    <row r="63" ht="34.5" customHeight="1" spans="1:35" s="28" customFormat="1" x14ac:dyDescent="0.25">
      <c r="A63" s="28"/>
      <c r="B63" s="29"/>
      <c r="C63" s="29"/>
      <c r="D63" s="29"/>
      <c r="E63" s="29"/>
      <c r="F63" s="32"/>
      <c r="G63" s="33"/>
      <c r="H63" s="43"/>
      <c r="I63" s="35"/>
      <c r="J63" s="43"/>
      <c r="K63" s="43"/>
      <c r="L63" s="35"/>
      <c r="M63" s="44"/>
      <c r="N63" s="35"/>
      <c r="O63" s="38"/>
      <c r="P63" s="35"/>
      <c r="Q63" s="35"/>
      <c r="R63" s="43"/>
      <c r="S63" s="43"/>
      <c r="T63" s="32"/>
      <c r="U63" s="33"/>
      <c r="V63" s="33"/>
      <c r="W63" s="33"/>
      <c r="X63" s="32"/>
      <c r="Y63" s="33"/>
      <c r="Z63" s="38"/>
      <c r="AA63" s="40"/>
      <c r="AB63" s="40"/>
      <c r="AC63" s="40"/>
      <c r="AD63" s="40"/>
      <c r="AE63" s="40"/>
      <c r="AF63" s="38"/>
      <c r="AG63" s="40"/>
      <c r="AH63" s="40"/>
      <c r="AI63" s="41"/>
    </row>
    <row r="64" ht="34.5" customHeight="1" spans="1:35" s="28" customFormat="1" x14ac:dyDescent="0.25">
      <c r="A64" s="28"/>
      <c r="B64" s="29"/>
      <c r="C64" s="29"/>
      <c r="D64" s="29"/>
      <c r="E64" s="29"/>
      <c r="F64" s="32"/>
      <c r="G64" s="33"/>
      <c r="H64" s="43"/>
      <c r="I64" s="35"/>
      <c r="J64" s="43"/>
      <c r="K64" s="43"/>
      <c r="L64" s="35"/>
      <c r="M64" s="44"/>
      <c r="N64" s="35"/>
      <c r="O64" s="38"/>
      <c r="P64" s="35"/>
      <c r="Q64" s="35"/>
      <c r="R64" s="43"/>
      <c r="S64" s="43"/>
      <c r="T64" s="32"/>
      <c r="U64" s="33"/>
      <c r="V64" s="33"/>
      <c r="W64" s="33"/>
      <c r="X64" s="32"/>
      <c r="Y64" s="33"/>
      <c r="Z64" s="38"/>
      <c r="AA64" s="40"/>
      <c r="AB64" s="40"/>
      <c r="AC64" s="40"/>
      <c r="AD64" s="40"/>
      <c r="AE64" s="40"/>
      <c r="AF64" s="38"/>
      <c r="AG64" s="40"/>
      <c r="AH64" s="40"/>
      <c r="AI64" s="41"/>
    </row>
    <row r="65" ht="34.5" customHeight="1" spans="1:35" s="28" customFormat="1" x14ac:dyDescent="0.25">
      <c r="A65" s="28"/>
      <c r="B65" s="29"/>
      <c r="C65" s="29"/>
      <c r="D65" s="29"/>
      <c r="E65" s="29"/>
      <c r="F65" s="32"/>
      <c r="G65" s="33"/>
      <c r="H65" s="43"/>
      <c r="I65" s="35"/>
      <c r="J65" s="43"/>
      <c r="K65" s="43"/>
      <c r="L65" s="35"/>
      <c r="M65" s="44"/>
      <c r="N65" s="35"/>
      <c r="O65" s="38"/>
      <c r="P65" s="35"/>
      <c r="Q65" s="35"/>
      <c r="R65" s="43"/>
      <c r="S65" s="43"/>
      <c r="T65" s="32"/>
      <c r="U65" s="33"/>
      <c r="V65" s="33"/>
      <c r="W65" s="33"/>
      <c r="X65" s="32"/>
      <c r="Y65" s="33"/>
      <c r="Z65" s="38"/>
      <c r="AA65" s="40"/>
      <c r="AB65" s="40"/>
      <c r="AC65" s="40"/>
      <c r="AD65" s="40"/>
      <c r="AE65" s="40"/>
      <c r="AF65" s="38"/>
      <c r="AG65" s="40"/>
      <c r="AH65" s="40"/>
      <c r="AI65" s="41"/>
    </row>
    <row r="66" ht="34.5" customHeight="1" spans="1:35" s="28" customFormat="1" x14ac:dyDescent="0.25">
      <c r="A66" s="28"/>
      <c r="B66" s="29"/>
      <c r="C66" s="29"/>
      <c r="D66" s="29"/>
      <c r="E66" s="29"/>
      <c r="F66" s="32"/>
      <c r="G66" s="33"/>
      <c r="H66" s="43"/>
      <c r="I66" s="35"/>
      <c r="J66" s="43"/>
      <c r="K66" s="43"/>
      <c r="L66" s="35"/>
      <c r="M66" s="44"/>
      <c r="N66" s="35"/>
      <c r="O66" s="38"/>
      <c r="P66" s="35"/>
      <c r="Q66" s="35"/>
      <c r="R66" s="43"/>
      <c r="S66" s="43"/>
      <c r="T66" s="32"/>
      <c r="U66" s="33"/>
      <c r="V66" s="33"/>
      <c r="W66" s="33"/>
      <c r="X66" s="32"/>
      <c r="Y66" s="33"/>
      <c r="Z66" s="38"/>
      <c r="AA66" s="40"/>
      <c r="AB66" s="40"/>
      <c r="AC66" s="40"/>
      <c r="AD66" s="40"/>
      <c r="AE66" s="40"/>
      <c r="AF66" s="38"/>
      <c r="AG66" s="40"/>
      <c r="AH66" s="40"/>
      <c r="AI66" s="41"/>
    </row>
    <row r="67" ht="34.5" customHeight="1" spans="1:35" s="28" customFormat="1" x14ac:dyDescent="0.25">
      <c r="A67" s="28"/>
      <c r="B67" s="29"/>
      <c r="C67" s="29"/>
      <c r="D67" s="29"/>
      <c r="E67" s="29"/>
      <c r="F67" s="32"/>
      <c r="G67" s="33"/>
      <c r="H67" s="43"/>
      <c r="I67" s="35"/>
      <c r="J67" s="43"/>
      <c r="K67" s="43"/>
      <c r="L67" s="35"/>
      <c r="M67" s="44"/>
      <c r="N67" s="35"/>
      <c r="O67" s="38"/>
      <c r="P67" s="35"/>
      <c r="Q67" s="35"/>
      <c r="R67" s="43"/>
      <c r="S67" s="43"/>
      <c r="T67" s="32"/>
      <c r="U67" s="33"/>
      <c r="V67" s="33"/>
      <c r="W67" s="33"/>
      <c r="X67" s="32"/>
      <c r="Y67" s="33"/>
      <c r="Z67" s="38"/>
      <c r="AA67" s="40"/>
      <c r="AB67" s="40"/>
      <c r="AC67" s="40"/>
      <c r="AD67" s="40"/>
      <c r="AE67" s="40"/>
      <c r="AF67" s="38"/>
      <c r="AG67" s="40"/>
      <c r="AH67" s="40"/>
      <c r="AI67" s="41"/>
    </row>
    <row r="68" ht="34.5" customHeight="1" spans="1:35" s="28" customFormat="1" x14ac:dyDescent="0.25">
      <c r="A68" s="28"/>
      <c r="B68" s="29"/>
      <c r="C68" s="29"/>
      <c r="D68" s="29"/>
      <c r="E68" s="29"/>
      <c r="F68" s="32"/>
      <c r="G68" s="33"/>
      <c r="H68" s="43"/>
      <c r="I68" s="35"/>
      <c r="J68" s="43"/>
      <c r="K68" s="43"/>
      <c r="L68" s="35"/>
      <c r="M68" s="44"/>
      <c r="N68" s="35"/>
      <c r="O68" s="38"/>
      <c r="P68" s="35"/>
      <c r="Q68" s="35"/>
      <c r="R68" s="43"/>
      <c r="S68" s="43"/>
      <c r="T68" s="32"/>
      <c r="U68" s="33"/>
      <c r="V68" s="33"/>
      <c r="W68" s="33"/>
      <c r="X68" s="32"/>
      <c r="Y68" s="33"/>
      <c r="Z68" s="38"/>
      <c r="AA68" s="40"/>
      <c r="AB68" s="40"/>
      <c r="AC68" s="40"/>
      <c r="AD68" s="40"/>
      <c r="AE68" s="40"/>
      <c r="AF68" s="38"/>
      <c r="AG68" s="40"/>
      <c r="AH68" s="40"/>
      <c r="AI68" s="41"/>
    </row>
    <row r="69" ht="34.5" customHeight="1" spans="1:35" s="28" customFormat="1" x14ac:dyDescent="0.25">
      <c r="A69" s="28"/>
      <c r="B69" s="29"/>
      <c r="C69" s="29"/>
      <c r="D69" s="29"/>
      <c r="E69" s="29"/>
      <c r="F69" s="32"/>
      <c r="G69" s="33"/>
      <c r="H69" s="43"/>
      <c r="I69" s="35"/>
      <c r="J69" s="43"/>
      <c r="K69" s="43"/>
      <c r="L69" s="35"/>
      <c r="M69" s="44"/>
      <c r="N69" s="35"/>
      <c r="O69" s="38"/>
      <c r="P69" s="35"/>
      <c r="Q69" s="35"/>
      <c r="R69" s="43"/>
      <c r="S69" s="43"/>
      <c r="T69" s="32"/>
      <c r="U69" s="33"/>
      <c r="V69" s="33"/>
      <c r="W69" s="33"/>
      <c r="X69" s="32"/>
      <c r="Y69" s="33"/>
      <c r="Z69" s="38"/>
      <c r="AA69" s="40"/>
      <c r="AB69" s="40"/>
      <c r="AC69" s="40"/>
      <c r="AD69" s="40"/>
      <c r="AE69" s="40"/>
      <c r="AF69" s="38"/>
      <c r="AG69" s="40"/>
      <c r="AH69" s="40"/>
      <c r="AI69" s="41"/>
    </row>
    <row r="70" ht="34.5" customHeight="1" spans="1:35" s="28" customFormat="1" x14ac:dyDescent="0.25">
      <c r="A70" s="28"/>
      <c r="B70" s="29"/>
      <c r="C70" s="29"/>
      <c r="D70" s="29"/>
      <c r="E70" s="29"/>
      <c r="F70" s="32"/>
      <c r="G70" s="33"/>
      <c r="H70" s="43"/>
      <c r="I70" s="35"/>
      <c r="J70" s="43"/>
      <c r="K70" s="43"/>
      <c r="L70" s="35"/>
      <c r="M70" s="44"/>
      <c r="N70" s="35"/>
      <c r="O70" s="38"/>
      <c r="P70" s="35"/>
      <c r="Q70" s="35"/>
      <c r="R70" s="43"/>
      <c r="S70" s="43"/>
      <c r="T70" s="32"/>
      <c r="U70" s="33"/>
      <c r="V70" s="33"/>
      <c r="W70" s="33"/>
      <c r="X70" s="32"/>
      <c r="Y70" s="33"/>
      <c r="Z70" s="38"/>
      <c r="AA70" s="40"/>
      <c r="AB70" s="40"/>
      <c r="AC70" s="40"/>
      <c r="AD70" s="40"/>
      <c r="AE70" s="40"/>
      <c r="AF70" s="38"/>
      <c r="AG70" s="40"/>
      <c r="AH70" s="40"/>
      <c r="AI70" s="41"/>
    </row>
    <row r="71" spans="1:20" x14ac:dyDescent="0.25">
      <c r="A71" s="1"/>
      <c r="B71" s="2"/>
      <c r="C71" s="2"/>
      <c r="D71" s="2"/>
      <c r="E71" s="2"/>
      <c r="F71" s="3"/>
      <c r="G71" s="4"/>
      <c r="H71" s="5"/>
      <c r="I71" s="6"/>
      <c r="J71" s="5"/>
      <c r="K71" s="5"/>
      <c r="L71" s="6"/>
      <c r="M71" s="7"/>
      <c r="N71" s="6"/>
      <c r="O71" s="8"/>
      <c r="P71" s="6"/>
      <c r="Q71" s="6"/>
      <c r="R71" s="5"/>
      <c r="S71" s="5"/>
      <c r="T71" s="45"/>
    </row>
    <row r="72" spans="1:20" x14ac:dyDescent="0.25">
      <c r="A72" s="1"/>
      <c r="B72" s="2"/>
      <c r="C72" s="2"/>
      <c r="D72" s="2"/>
      <c r="E72" s="2"/>
      <c r="F72" s="3"/>
      <c r="G72" s="4"/>
      <c r="H72" s="5"/>
      <c r="I72" s="6"/>
      <c r="J72" s="5"/>
      <c r="K72" s="5"/>
      <c r="L72" s="6"/>
      <c r="M72" s="7"/>
      <c r="N72" s="6"/>
      <c r="O72" s="8"/>
      <c r="P72" s="6"/>
      <c r="Q72" s="6"/>
      <c r="R72" s="5"/>
      <c r="S72" s="5"/>
      <c r="T72" s="3"/>
    </row>
    <row r="73" spans="1:20" x14ac:dyDescent="0.25">
      <c r="A73" s="1"/>
      <c r="B73" s="2"/>
      <c r="C73" s="2"/>
      <c r="D73" s="2"/>
      <c r="E73" s="2"/>
      <c r="F73" s="3"/>
      <c r="G73" s="4"/>
      <c r="H73" s="5"/>
      <c r="I73" s="6"/>
      <c r="J73" s="5"/>
      <c r="K73" s="5"/>
      <c r="L73" s="6"/>
      <c r="M73" s="7"/>
      <c r="N73" s="6"/>
      <c r="O73" s="8"/>
      <c r="P73" s="6"/>
      <c r="Q73" s="6"/>
      <c r="R73" s="5"/>
      <c r="S73" s="5"/>
      <c r="T73" s="3"/>
    </row>
    <row r="78" spans="1:24" x14ac:dyDescent="0.25">
      <c r="A78" s="1"/>
      <c r="B78" s="2"/>
      <c r="C78" s="2"/>
      <c r="D78" s="2"/>
      <c r="E78" s="2"/>
      <c r="F78" s="3"/>
      <c r="G78" s="4"/>
      <c r="H78" s="5"/>
      <c r="I78" s="6"/>
      <c r="J78" s="5"/>
      <c r="K78" s="5"/>
      <c r="L78" s="6"/>
      <c r="M78" s="7"/>
      <c r="N78" s="6"/>
      <c r="O78" s="8"/>
      <c r="P78" s="6"/>
      <c r="Q78" s="6"/>
      <c r="R78" s="5"/>
      <c r="S78" s="5"/>
      <c r="T78" s="3"/>
      <c r="U78" s="4"/>
      <c r="V78" s="4"/>
      <c r="W78" s="4"/>
      <c r="X78" s="4"/>
    </row>
  </sheetData>
  <autoFilter ref="B8:AH70"/>
  <pageMargins left="0" right="0" top="0.3937007874015748" bottom="0.1968503937007874" header="0.1968503937007874" footer="0.1968503937007874"/>
  <pageSetup paperSize="9" orientation="landscape" horizontalDpi="4294967295" verticalDpi="4294967295" scale="6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SÁCH</vt:lpstr>
      <vt:lpstr>HĐLĐ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QLTTS</dc:creator>
  <cp:lastModifiedBy>QLTTS</cp:lastModifiedBy>
  <cp:lastPrinted>2026-09-16T02:03:58Z</cp:lastPrinted>
  <dcterms:created xsi:type="dcterms:W3CDTF">1970-01-01T00:00:00Z</dcterms:created>
  <dcterms:modified xsi:type="dcterms:W3CDTF">1970-01-01T00:00:00Z</dcterms:modified>
</cp:coreProperties>
</file>